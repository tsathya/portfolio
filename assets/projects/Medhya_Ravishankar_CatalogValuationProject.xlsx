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bcuni-my.sharepoint.com/personal/206928649_tfayd_com/Documents/Downloads/"/>
    </mc:Choice>
  </mc:AlternateContent>
  <xr:revisionPtr revIDLastSave="150" documentId="11_99DD6E34E754E36B10F1B3C11B7D22535F226913" xr6:coauthVersionLast="47" xr6:coauthVersionMax="47" xr10:uidLastSave="{371957C0-44AF-4856-B2C3-47307245A43E}"/>
  <bookViews>
    <workbookView xWindow="-110" yWindow="-110" windowWidth="19420" windowHeight="10300" xr2:uid="{00000000-000D-0000-FFFF-FFFF00000000}"/>
  </bookViews>
  <sheets>
    <sheet name="Dashboard" sheetId="1" r:id="rId1"/>
    <sheet name="Assumptions" sheetId="2" r:id="rId2"/>
    <sheet name="Historical" sheetId="3" r:id="rId3"/>
    <sheet name="Forecast" sheetId="4" r:id="rId4"/>
    <sheet name="DCF" sheetId="5" r:id="rId5"/>
    <sheet name="Multiples" sheetId="6" r:id="rId6"/>
    <sheet name="Acquisition" sheetId="7" r:id="rId7"/>
    <sheet name="Sensitivities" sheetId="8" r:id="rId8"/>
    <sheet name="Rights Basis" sheetId="9" r:id="rId9"/>
    <sheet name="Sources &amp; Uses" sheetId="10" r:id="rId10"/>
    <sheet name="5Y Underwriting" sheetId="11" r:id="rId11"/>
    <sheet name="5Y Sensitiviti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2" l="1"/>
  <c r="B76" i="12" s="1"/>
  <c r="B48" i="12"/>
  <c r="B71" i="12" s="1"/>
  <c r="B47" i="12"/>
  <c r="B66" i="12" s="1"/>
  <c r="B46" i="12"/>
  <c r="B61" i="12" s="1"/>
  <c r="B45" i="12"/>
  <c r="B56" i="12" s="1"/>
  <c r="G44" i="12"/>
  <c r="C76" i="12" s="1"/>
  <c r="F44" i="12"/>
  <c r="C75" i="12" s="1"/>
  <c r="E44" i="12"/>
  <c r="C74" i="12" s="1"/>
  <c r="D44" i="12"/>
  <c r="C73" i="12" s="1"/>
  <c r="C44" i="12"/>
  <c r="C72" i="12" s="1"/>
  <c r="B11" i="12"/>
  <c r="B38" i="12" s="1"/>
  <c r="B10" i="12"/>
  <c r="B33" i="12" s="1"/>
  <c r="B9" i="12"/>
  <c r="B28" i="12" s="1"/>
  <c r="B8" i="12"/>
  <c r="B23" i="12" s="1"/>
  <c r="B7" i="12"/>
  <c r="B18" i="12" s="1"/>
  <c r="G6" i="12"/>
  <c r="C38" i="12" s="1"/>
  <c r="F6" i="12"/>
  <c r="C37" i="12" s="1"/>
  <c r="E6" i="12"/>
  <c r="C36" i="12" s="1"/>
  <c r="D6" i="12"/>
  <c r="C35" i="12" s="1"/>
  <c r="C6" i="12"/>
  <c r="C34" i="12" s="1"/>
  <c r="F28" i="11"/>
  <c r="E28" i="11"/>
  <c r="D28" i="11"/>
  <c r="C28" i="11"/>
  <c r="F26" i="11"/>
  <c r="F27" i="11" s="1"/>
  <c r="E26" i="11"/>
  <c r="E27" i="11" s="1"/>
  <c r="D26" i="11"/>
  <c r="C26" i="11"/>
  <c r="B7" i="11"/>
  <c r="B6" i="11"/>
  <c r="B25" i="10"/>
  <c r="B24" i="10"/>
  <c r="B6" i="10"/>
  <c r="B26" i="9"/>
  <c r="B25" i="9"/>
  <c r="B24" i="9"/>
  <c r="B23" i="9"/>
  <c r="B22" i="9"/>
  <c r="B7" i="9"/>
  <c r="B6" i="9"/>
  <c r="K30" i="7"/>
  <c r="J30" i="7"/>
  <c r="I30" i="7"/>
  <c r="H30" i="7"/>
  <c r="G30" i="7"/>
  <c r="F30" i="7"/>
  <c r="E30" i="7"/>
  <c r="D30" i="7"/>
  <c r="C30" i="7"/>
  <c r="C29" i="7"/>
  <c r="K28" i="7"/>
  <c r="K29" i="7" s="1"/>
  <c r="J28" i="7"/>
  <c r="J29" i="7" s="1"/>
  <c r="I28" i="7"/>
  <c r="I29" i="7" s="1"/>
  <c r="H28" i="7"/>
  <c r="H29" i="7" s="1"/>
  <c r="G28" i="7"/>
  <c r="G29" i="7" s="1"/>
  <c r="F28" i="7"/>
  <c r="F29" i="7" s="1"/>
  <c r="E28" i="7"/>
  <c r="E29" i="7" s="1"/>
  <c r="D28" i="7"/>
  <c r="D29" i="7" s="1"/>
  <c r="C28" i="7"/>
  <c r="B16" i="7"/>
  <c r="B15" i="7"/>
  <c r="B14" i="7"/>
  <c r="B6" i="7"/>
  <c r="B6" i="6"/>
  <c r="B8" i="5"/>
  <c r="B7" i="5"/>
  <c r="B9" i="4"/>
  <c r="C9" i="4" s="1"/>
  <c r="D9" i="4" s="1"/>
  <c r="E9" i="4" s="1"/>
  <c r="F9" i="4" s="1"/>
  <c r="G9" i="4" s="1"/>
  <c r="H9" i="4" s="1"/>
  <c r="I9" i="4" s="1"/>
  <c r="J9" i="4" s="1"/>
  <c r="K9" i="4" s="1"/>
  <c r="B8" i="4"/>
  <c r="C8" i="4" s="1"/>
  <c r="D8" i="4" s="1"/>
  <c r="E8" i="4" s="1"/>
  <c r="F8" i="4" s="1"/>
  <c r="G8" i="4" s="1"/>
  <c r="H8" i="4" s="1"/>
  <c r="I8" i="4" s="1"/>
  <c r="J8" i="4" s="1"/>
  <c r="K8" i="4" s="1"/>
  <c r="B7" i="4"/>
  <c r="C7" i="4" s="1"/>
  <c r="D7" i="4" s="1"/>
  <c r="E7" i="4" s="1"/>
  <c r="F7" i="4" s="1"/>
  <c r="G7" i="4" s="1"/>
  <c r="H7" i="4" s="1"/>
  <c r="I7" i="4" s="1"/>
  <c r="J7" i="4" s="1"/>
  <c r="K7" i="4" s="1"/>
  <c r="B6" i="4"/>
  <c r="C6" i="4" s="1"/>
  <c r="D6" i="4" s="1"/>
  <c r="E6" i="4" s="1"/>
  <c r="F6" i="4" s="1"/>
  <c r="G6" i="4" s="1"/>
  <c r="H6" i="4" s="1"/>
  <c r="I6" i="4" s="1"/>
  <c r="J6" i="4" s="1"/>
  <c r="K6" i="4" s="1"/>
  <c r="B5" i="4"/>
  <c r="K4" i="4"/>
  <c r="L21" i="7" s="1"/>
  <c r="J4" i="4"/>
  <c r="K21" i="7" s="1"/>
  <c r="I4" i="4"/>
  <c r="I24" i="1" s="1"/>
  <c r="H4" i="4"/>
  <c r="I21" i="7" s="1"/>
  <c r="G4" i="4"/>
  <c r="H21" i="7" s="1"/>
  <c r="F4" i="4"/>
  <c r="G21" i="7" s="1"/>
  <c r="E4" i="4"/>
  <c r="E24" i="1" s="1"/>
  <c r="D4" i="4"/>
  <c r="E21" i="7" s="1"/>
  <c r="C4" i="4"/>
  <c r="D21" i="7" s="1"/>
  <c r="B4" i="4"/>
  <c r="C21" i="7" s="1"/>
  <c r="D10" i="3"/>
  <c r="D11" i="3" s="1"/>
  <c r="C10" i="3"/>
  <c r="C13" i="3" s="1"/>
  <c r="B10" i="3"/>
  <c r="B27" i="9" l="1"/>
  <c r="C11" i="3"/>
  <c r="C17" i="12"/>
  <c r="K24" i="1"/>
  <c r="C16" i="12"/>
  <c r="B43" i="11"/>
  <c r="B35" i="1" s="1"/>
  <c r="C21" i="12"/>
  <c r="J24" i="1"/>
  <c r="G24" i="1"/>
  <c r="C22" i="12"/>
  <c r="D24" i="1"/>
  <c r="E29" i="11"/>
  <c r="F24" i="1"/>
  <c r="C26" i="12"/>
  <c r="C24" i="1"/>
  <c r="J21" i="7"/>
  <c r="B24" i="1"/>
  <c r="H24" i="1"/>
  <c r="F21" i="7"/>
  <c r="B10" i="4"/>
  <c r="B25" i="1" s="1"/>
  <c r="B8" i="9"/>
  <c r="C23" i="9" s="1"/>
  <c r="D13" i="3"/>
  <c r="D14" i="3"/>
  <c r="D15" i="3" s="1"/>
  <c r="B13" i="3"/>
  <c r="F29" i="11"/>
  <c r="C14" i="3"/>
  <c r="C15" i="3" s="1"/>
  <c r="C5" i="4"/>
  <c r="B14" i="3"/>
  <c r="C27" i="11"/>
  <c r="C29" i="11" s="1"/>
  <c r="D27" i="11"/>
  <c r="D29" i="11" s="1"/>
  <c r="B52" i="12"/>
  <c r="B53" i="12"/>
  <c r="B54" i="12"/>
  <c r="B55" i="12"/>
  <c r="B57" i="12"/>
  <c r="B58" i="12"/>
  <c r="B59" i="12"/>
  <c r="B60" i="12"/>
  <c r="B62" i="12"/>
  <c r="B63" i="12"/>
  <c r="B64" i="12"/>
  <c r="B65" i="12"/>
  <c r="B67" i="12"/>
  <c r="B68" i="12"/>
  <c r="B69" i="12"/>
  <c r="B70" i="12"/>
  <c r="B72" i="12"/>
  <c r="B73" i="12"/>
  <c r="B74" i="12"/>
  <c r="B75" i="12"/>
  <c r="B14" i="12"/>
  <c r="B15" i="12"/>
  <c r="B16" i="12"/>
  <c r="B17" i="12"/>
  <c r="B19" i="12"/>
  <c r="B20" i="12"/>
  <c r="B21" i="12"/>
  <c r="B22" i="12"/>
  <c r="B24" i="12"/>
  <c r="B25" i="12"/>
  <c r="B26" i="12"/>
  <c r="B27" i="12"/>
  <c r="B29" i="12"/>
  <c r="B30" i="12"/>
  <c r="B31" i="12"/>
  <c r="B32" i="12"/>
  <c r="B34" i="12"/>
  <c r="B35" i="12"/>
  <c r="B36" i="12"/>
  <c r="B37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14" i="12"/>
  <c r="C15" i="12"/>
  <c r="C18" i="12"/>
  <c r="C19" i="12"/>
  <c r="C20" i="12"/>
  <c r="C23" i="12"/>
  <c r="C24" i="12"/>
  <c r="C25" i="12"/>
  <c r="C27" i="12"/>
  <c r="C28" i="12"/>
  <c r="C29" i="12"/>
  <c r="C30" i="12"/>
  <c r="C31" i="12"/>
  <c r="C32" i="12"/>
  <c r="C33" i="12"/>
  <c r="C25" i="9" l="1"/>
  <c r="B15" i="3"/>
  <c r="B19" i="3" s="1"/>
  <c r="D19" i="3"/>
  <c r="B30" i="1" s="1"/>
  <c r="D16" i="3"/>
  <c r="D17" i="3" s="1"/>
  <c r="C19" i="3"/>
  <c r="C16" i="3"/>
  <c r="C17" i="3" s="1"/>
  <c r="B9" i="9"/>
  <c r="C24" i="9"/>
  <c r="C22" i="9"/>
  <c r="C26" i="9"/>
  <c r="B16" i="3"/>
  <c r="B17" i="3" s="1"/>
  <c r="B12" i="4"/>
  <c r="B13" i="4"/>
  <c r="C10" i="4"/>
  <c r="C25" i="1" s="1"/>
  <c r="D5" i="4"/>
  <c r="B14" i="4" l="1"/>
  <c r="B16" i="4" s="1"/>
  <c r="B17" i="4" s="1"/>
  <c r="B12" i="9"/>
  <c r="B18" i="11"/>
  <c r="B5" i="10"/>
  <c r="B5" i="7"/>
  <c r="B7" i="7" s="1"/>
  <c r="B7" i="1" s="1"/>
  <c r="B14" i="5"/>
  <c r="B10" i="9"/>
  <c r="B11" i="9" s="1"/>
  <c r="B5" i="6"/>
  <c r="B7" i="6" s="1"/>
  <c r="B6" i="1" s="1"/>
  <c r="C12" i="4"/>
  <c r="C13" i="4"/>
  <c r="C27" i="9"/>
  <c r="D10" i="4"/>
  <c r="D25" i="1" s="1"/>
  <c r="E5" i="4"/>
  <c r="C14" i="4" l="1"/>
  <c r="C21" i="4" s="1"/>
  <c r="D16" i="11" s="1"/>
  <c r="B21" i="4"/>
  <c r="C16" i="11" s="1"/>
  <c r="B12" i="6"/>
  <c r="E10" i="4"/>
  <c r="E25" i="1" s="1"/>
  <c r="F5" i="4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B7" i="10"/>
  <c r="B31" i="1" s="1"/>
  <c r="B5" i="11"/>
  <c r="B16" i="11" s="1"/>
  <c r="D12" i="4"/>
  <c r="D13" i="4"/>
  <c r="B8" i="7"/>
  <c r="B9" i="7" s="1"/>
  <c r="B11" i="7"/>
  <c r="B19" i="4"/>
  <c r="C22" i="7"/>
  <c r="C18" i="11"/>
  <c r="C17" i="11" l="1"/>
  <c r="D17" i="11"/>
  <c r="C16" i="4"/>
  <c r="C17" i="4" s="1"/>
  <c r="C19" i="4" s="1"/>
  <c r="D14" i="4"/>
  <c r="D21" i="4" s="1"/>
  <c r="E16" i="11" s="1"/>
  <c r="E17" i="11" s="1"/>
  <c r="B37" i="7"/>
  <c r="B12" i="7"/>
  <c r="B8" i="1" s="1"/>
  <c r="C37" i="7"/>
  <c r="E20" i="12"/>
  <c r="H20" i="12" s="1"/>
  <c r="E32" i="12"/>
  <c r="H32" i="12" s="1"/>
  <c r="E21" i="12"/>
  <c r="F21" i="12" s="1"/>
  <c r="G21" i="12" s="1"/>
  <c r="B14" i="10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B8" i="11"/>
  <c r="B8" i="10"/>
  <c r="B9" i="10" s="1"/>
  <c r="E25" i="12"/>
  <c r="F25" i="12" s="1"/>
  <c r="G25" i="12" s="1"/>
  <c r="E37" i="12"/>
  <c r="F37" i="12" s="1"/>
  <c r="G37" i="12" s="1"/>
  <c r="E14" i="12"/>
  <c r="F14" i="12" s="1"/>
  <c r="G14" i="12" s="1"/>
  <c r="E26" i="12"/>
  <c r="F26" i="12" s="1"/>
  <c r="G26" i="12" s="1"/>
  <c r="E38" i="12"/>
  <c r="F38" i="12" s="1"/>
  <c r="G38" i="12" s="1"/>
  <c r="E15" i="12"/>
  <c r="F15" i="12" s="1"/>
  <c r="G15" i="12" s="1"/>
  <c r="E27" i="12"/>
  <c r="H27" i="12" s="1"/>
  <c r="F10" i="4"/>
  <c r="F25" i="1" s="1"/>
  <c r="G5" i="4"/>
  <c r="E16" i="12"/>
  <c r="F16" i="12" s="1"/>
  <c r="G16" i="12" s="1"/>
  <c r="E28" i="12"/>
  <c r="F28" i="12" s="1"/>
  <c r="G28" i="12" s="1"/>
  <c r="E13" i="4"/>
  <c r="E12" i="4"/>
  <c r="E33" i="12"/>
  <c r="F33" i="12" s="1"/>
  <c r="G33" i="12" s="1"/>
  <c r="E22" i="12"/>
  <c r="H22" i="12" s="1"/>
  <c r="E34" i="12"/>
  <c r="H34" i="12" s="1"/>
  <c r="E23" i="12"/>
  <c r="H23" i="12" s="1"/>
  <c r="E35" i="12"/>
  <c r="F35" i="12" s="1"/>
  <c r="G35" i="12" s="1"/>
  <c r="E24" i="12"/>
  <c r="F24" i="12" s="1"/>
  <c r="G24" i="12" s="1"/>
  <c r="E36" i="12"/>
  <c r="F36" i="12" s="1"/>
  <c r="G36" i="12" s="1"/>
  <c r="C23" i="7"/>
  <c r="C25" i="7" s="1"/>
  <c r="E17" i="12"/>
  <c r="F17" i="12" s="1"/>
  <c r="G17" i="12" s="1"/>
  <c r="E29" i="12"/>
  <c r="F29" i="12" s="1"/>
  <c r="G29" i="12" s="1"/>
  <c r="E18" i="12"/>
  <c r="F18" i="12" s="1"/>
  <c r="G18" i="12" s="1"/>
  <c r="E30" i="12"/>
  <c r="H30" i="12" s="1"/>
  <c r="C32" i="11"/>
  <c r="E19" i="12"/>
  <c r="F19" i="12" s="1"/>
  <c r="G19" i="12" s="1"/>
  <c r="E31" i="12"/>
  <c r="F31" i="12" s="1"/>
  <c r="G31" i="12" s="1"/>
  <c r="H37" i="12" l="1"/>
  <c r="D18" i="11"/>
  <c r="I32" i="12" s="1"/>
  <c r="D22" i="7"/>
  <c r="D37" i="7" s="1"/>
  <c r="H17" i="12"/>
  <c r="F34" i="12"/>
  <c r="G34" i="12" s="1"/>
  <c r="F27" i="12"/>
  <c r="G27" i="12" s="1"/>
  <c r="H28" i="12"/>
  <c r="H15" i="12"/>
  <c r="H29" i="12"/>
  <c r="E14" i="4"/>
  <c r="E21" i="4" s="1"/>
  <c r="F16" i="11" s="1"/>
  <c r="F17" i="11" s="1"/>
  <c r="H33" i="12"/>
  <c r="H18" i="12"/>
  <c r="H21" i="12"/>
  <c r="H25" i="12"/>
  <c r="F22" i="12"/>
  <c r="G22" i="12" s="1"/>
  <c r="H14" i="12"/>
  <c r="H16" i="12"/>
  <c r="H35" i="12"/>
  <c r="F23" i="12"/>
  <c r="G23" i="12" s="1"/>
  <c r="D16" i="4"/>
  <c r="D17" i="4" s="1"/>
  <c r="E18" i="11" s="1"/>
  <c r="B15" i="10"/>
  <c r="B16" i="10" s="1"/>
  <c r="B18" i="10" s="1"/>
  <c r="B32" i="11"/>
  <c r="E57" i="12"/>
  <c r="H57" i="12" s="1"/>
  <c r="E69" i="12"/>
  <c r="H69" i="12" s="1"/>
  <c r="H24" i="12"/>
  <c r="H36" i="12"/>
  <c r="E58" i="12"/>
  <c r="H58" i="12" s="1"/>
  <c r="E70" i="12"/>
  <c r="H70" i="12" s="1"/>
  <c r="F32" i="12"/>
  <c r="G32" i="12" s="1"/>
  <c r="E59" i="12"/>
  <c r="H59" i="12" s="1"/>
  <c r="E71" i="12"/>
  <c r="H71" i="12" s="1"/>
  <c r="H26" i="12"/>
  <c r="H38" i="12"/>
  <c r="E60" i="12"/>
  <c r="H60" i="12" s="1"/>
  <c r="E72" i="12"/>
  <c r="H72" i="12" s="1"/>
  <c r="F20" i="12"/>
  <c r="G20" i="12" s="1"/>
  <c r="E61" i="12"/>
  <c r="H61" i="12" s="1"/>
  <c r="E73" i="12"/>
  <c r="H73" i="12" s="1"/>
  <c r="C26" i="7"/>
  <c r="D23" i="7" s="1"/>
  <c r="C24" i="7"/>
  <c r="C27" i="7" s="1"/>
  <c r="C31" i="7" s="1"/>
  <c r="H5" i="4"/>
  <c r="G10" i="4"/>
  <c r="G25" i="1" s="1"/>
  <c r="E62" i="12"/>
  <c r="H62" i="12" s="1"/>
  <c r="E74" i="12"/>
  <c r="H74" i="12" s="1"/>
  <c r="F30" i="12"/>
  <c r="G30" i="12" s="1"/>
  <c r="F12" i="4"/>
  <c r="F13" i="4"/>
  <c r="E63" i="12"/>
  <c r="H63" i="12" s="1"/>
  <c r="E75" i="12"/>
  <c r="H75" i="12" s="1"/>
  <c r="I38" i="12"/>
  <c r="I33" i="12"/>
  <c r="I30" i="12"/>
  <c r="I26" i="12"/>
  <c r="I25" i="12"/>
  <c r="I22" i="12"/>
  <c r="I17" i="12"/>
  <c r="I16" i="12"/>
  <c r="E52" i="12"/>
  <c r="H52" i="12" s="1"/>
  <c r="E64" i="12"/>
  <c r="H64" i="12" s="1"/>
  <c r="E76" i="12"/>
  <c r="H76" i="12" s="1"/>
  <c r="H19" i="12"/>
  <c r="H31" i="12"/>
  <c r="E53" i="12"/>
  <c r="H53" i="12" s="1"/>
  <c r="E65" i="12"/>
  <c r="H65" i="12" s="1"/>
  <c r="B9" i="11"/>
  <c r="B22" i="10"/>
  <c r="E54" i="12"/>
  <c r="H54" i="12" s="1"/>
  <c r="E66" i="12"/>
  <c r="H66" i="12" s="1"/>
  <c r="B31" i="7"/>
  <c r="E55" i="12"/>
  <c r="H55" i="12" s="1"/>
  <c r="E67" i="12"/>
  <c r="H67" i="12" s="1"/>
  <c r="E56" i="12"/>
  <c r="H56" i="12" s="1"/>
  <c r="E68" i="12"/>
  <c r="H68" i="12" s="1"/>
  <c r="D32" i="11" l="1"/>
  <c r="I27" i="12"/>
  <c r="I14" i="12"/>
  <c r="I28" i="12"/>
  <c r="I15" i="12"/>
  <c r="I29" i="12"/>
  <c r="I18" i="12"/>
  <c r="I34" i="12"/>
  <c r="I20" i="12"/>
  <c r="I35" i="12"/>
  <c r="I21" i="12"/>
  <c r="I36" i="12"/>
  <c r="I24" i="12"/>
  <c r="I23" i="12"/>
  <c r="I37" i="12"/>
  <c r="I19" i="12"/>
  <c r="I31" i="12"/>
  <c r="E16" i="4"/>
  <c r="E17" i="4" s="1"/>
  <c r="F22" i="7" s="1"/>
  <c r="I67" i="12"/>
  <c r="I71" i="12"/>
  <c r="I69" i="12"/>
  <c r="F61" i="12"/>
  <c r="G61" i="12" s="1"/>
  <c r="I61" i="12"/>
  <c r="I62" i="12"/>
  <c r="I70" i="12"/>
  <c r="I73" i="12"/>
  <c r="I75" i="12"/>
  <c r="F59" i="12"/>
  <c r="G59" i="12" s="1"/>
  <c r="I53" i="12"/>
  <c r="I56" i="12"/>
  <c r="I59" i="12"/>
  <c r="F70" i="12"/>
  <c r="G70" i="12" s="1"/>
  <c r="I68" i="12"/>
  <c r="F53" i="12"/>
  <c r="G53" i="12" s="1"/>
  <c r="F14" i="4"/>
  <c r="F16" i="4" s="1"/>
  <c r="F17" i="4" s="1"/>
  <c r="F56" i="12"/>
  <c r="G56" i="12" s="1"/>
  <c r="F76" i="12"/>
  <c r="G76" i="12" s="1"/>
  <c r="I58" i="12"/>
  <c r="F75" i="12"/>
  <c r="G75" i="12" s="1"/>
  <c r="F54" i="12"/>
  <c r="G54" i="12" s="1"/>
  <c r="D19" i="4"/>
  <c r="F63" i="12"/>
  <c r="G63" i="12" s="1"/>
  <c r="E22" i="7"/>
  <c r="E37" i="7" s="1"/>
  <c r="F74" i="12"/>
  <c r="G74" i="12" s="1"/>
  <c r="I55" i="12"/>
  <c r="F60" i="12"/>
  <c r="G60" i="12" s="1"/>
  <c r="I57" i="12"/>
  <c r="F57" i="12"/>
  <c r="G57" i="12" s="1"/>
  <c r="G12" i="4"/>
  <c r="G13" i="4"/>
  <c r="I5" i="4"/>
  <c r="H10" i="4"/>
  <c r="H25" i="1" s="1"/>
  <c r="F72" i="12"/>
  <c r="G72" i="12" s="1"/>
  <c r="F65" i="12"/>
  <c r="G65" i="12" s="1"/>
  <c r="F58" i="12"/>
  <c r="G58" i="12" s="1"/>
  <c r="C20" i="11"/>
  <c r="C22" i="11" s="1"/>
  <c r="D24" i="7"/>
  <c r="D25" i="7"/>
  <c r="D26" i="7" s="1"/>
  <c r="E23" i="7" s="1"/>
  <c r="F52" i="12"/>
  <c r="G52" i="12" s="1"/>
  <c r="I74" i="12"/>
  <c r="F73" i="12"/>
  <c r="G73" i="12" s="1"/>
  <c r="I72" i="12"/>
  <c r="I63" i="12"/>
  <c r="F55" i="12"/>
  <c r="G55" i="12" s="1"/>
  <c r="I60" i="12"/>
  <c r="I52" i="12"/>
  <c r="I76" i="12"/>
  <c r="B10" i="11"/>
  <c r="B31" i="11" s="1"/>
  <c r="B23" i="10"/>
  <c r="I64" i="12"/>
  <c r="F69" i="12"/>
  <c r="G69" i="12" s="1"/>
  <c r="F67" i="12"/>
  <c r="G67" i="12" s="1"/>
  <c r="F64" i="12"/>
  <c r="G64" i="12" s="1"/>
  <c r="F68" i="12"/>
  <c r="G68" i="12" s="1"/>
  <c r="F66" i="12"/>
  <c r="G66" i="12" s="1"/>
  <c r="I65" i="12"/>
  <c r="F71" i="12"/>
  <c r="G71" i="12" s="1"/>
  <c r="I54" i="12"/>
  <c r="I66" i="12"/>
  <c r="F62" i="12"/>
  <c r="G62" i="12" s="1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E32" i="11"/>
  <c r="F18" i="11" l="1"/>
  <c r="K38" i="12" s="1"/>
  <c r="E19" i="4"/>
  <c r="F21" i="4"/>
  <c r="G16" i="11" s="1"/>
  <c r="G17" i="11" s="1"/>
  <c r="G14" i="4"/>
  <c r="G16" i="4" s="1"/>
  <c r="G17" i="4" s="1"/>
  <c r="E24" i="7"/>
  <c r="E25" i="7"/>
  <c r="E26" i="7" s="1"/>
  <c r="F23" i="7" s="1"/>
  <c r="I10" i="4"/>
  <c r="I25" i="1" s="1"/>
  <c r="J5" i="4"/>
  <c r="G22" i="7"/>
  <c r="G18" i="11"/>
  <c r="F19" i="4"/>
  <c r="H12" i="4"/>
  <c r="H13" i="4"/>
  <c r="D27" i="7"/>
  <c r="D31" i="7" s="1"/>
  <c r="C21" i="11"/>
  <c r="C24" i="11" s="1"/>
  <c r="C31" i="11" s="1"/>
  <c r="C23" i="11"/>
  <c r="D20" i="11" s="1"/>
  <c r="K29" i="12"/>
  <c r="K28" i="12"/>
  <c r="K27" i="12"/>
  <c r="K23" i="12"/>
  <c r="K22" i="12"/>
  <c r="K21" i="12"/>
  <c r="K15" i="12"/>
  <c r="K71" i="12"/>
  <c r="K70" i="12"/>
  <c r="K69" i="12"/>
  <c r="K68" i="12"/>
  <c r="K67" i="12"/>
  <c r="K60" i="12"/>
  <c r="K57" i="12"/>
  <c r="K54" i="12"/>
  <c r="F32" i="11"/>
  <c r="F37" i="7"/>
  <c r="K72" i="12" l="1"/>
  <c r="K30" i="12"/>
  <c r="K55" i="12"/>
  <c r="K73" i="12"/>
  <c r="K34" i="12"/>
  <c r="K56" i="12"/>
  <c r="K74" i="12"/>
  <c r="K35" i="12"/>
  <c r="K58" i="12"/>
  <c r="K19" i="12"/>
  <c r="K59" i="12"/>
  <c r="K20" i="12"/>
  <c r="K16" i="12"/>
  <c r="K61" i="12"/>
  <c r="K31" i="12"/>
  <c r="K62" i="12"/>
  <c r="K17" i="12"/>
  <c r="K32" i="12"/>
  <c r="K66" i="12"/>
  <c r="K18" i="12"/>
  <c r="K33" i="12"/>
  <c r="K36" i="12"/>
  <c r="K63" i="12"/>
  <c r="K75" i="12"/>
  <c r="K24" i="12"/>
  <c r="K52" i="12"/>
  <c r="K64" i="12"/>
  <c r="K76" i="12"/>
  <c r="K25" i="12"/>
  <c r="K37" i="12"/>
  <c r="K53" i="12"/>
  <c r="K65" i="12"/>
  <c r="K14" i="12"/>
  <c r="K26" i="12"/>
  <c r="G26" i="11"/>
  <c r="G27" i="11" s="1"/>
  <c r="G32" i="11" s="1"/>
  <c r="G21" i="4"/>
  <c r="H14" i="4"/>
  <c r="H16" i="4" s="1"/>
  <c r="H17" i="4" s="1"/>
  <c r="E27" i="7"/>
  <c r="E31" i="7" s="1"/>
  <c r="F24" i="7"/>
  <c r="F25" i="7"/>
  <c r="F26" i="7" s="1"/>
  <c r="G23" i="7" s="1"/>
  <c r="D21" i="11"/>
  <c r="D22" i="11"/>
  <c r="D23" i="11" s="1"/>
  <c r="E20" i="11" s="1"/>
  <c r="G19" i="4"/>
  <c r="H22" i="7"/>
  <c r="L76" i="12"/>
  <c r="L75" i="12"/>
  <c r="L74" i="12"/>
  <c r="M74" i="12" s="1"/>
  <c r="E49" i="12" s="1"/>
  <c r="L73" i="12"/>
  <c r="M73" i="12" s="1"/>
  <c r="D49" i="12" s="1"/>
  <c r="L72" i="12"/>
  <c r="M72" i="12" s="1"/>
  <c r="C49" i="12" s="1"/>
  <c r="L71" i="12"/>
  <c r="M71" i="12" s="1"/>
  <c r="G48" i="12" s="1"/>
  <c r="L70" i="12"/>
  <c r="M70" i="12" s="1"/>
  <c r="F48" i="12" s="1"/>
  <c r="L69" i="12"/>
  <c r="M69" i="12" s="1"/>
  <c r="E48" i="12" s="1"/>
  <c r="L68" i="12"/>
  <c r="M68" i="12" s="1"/>
  <c r="D48" i="12" s="1"/>
  <c r="L67" i="12"/>
  <c r="M67" i="12" s="1"/>
  <c r="C48" i="12" s="1"/>
  <c r="L66" i="12"/>
  <c r="M66" i="12" s="1"/>
  <c r="G47" i="12" s="1"/>
  <c r="L65" i="12"/>
  <c r="M65" i="12" s="1"/>
  <c r="F47" i="12" s="1"/>
  <c r="L64" i="12"/>
  <c r="L63" i="12"/>
  <c r="L62" i="12"/>
  <c r="L61" i="12"/>
  <c r="M61" i="12" s="1"/>
  <c r="G46" i="12" s="1"/>
  <c r="L60" i="12"/>
  <c r="M60" i="12" s="1"/>
  <c r="F46" i="12" s="1"/>
  <c r="L59" i="12"/>
  <c r="L58" i="12"/>
  <c r="L57" i="12"/>
  <c r="M57" i="12" s="1"/>
  <c r="C46" i="12" s="1"/>
  <c r="L56" i="12"/>
  <c r="M56" i="12" s="1"/>
  <c r="G45" i="12" s="1"/>
  <c r="L55" i="12"/>
  <c r="M55" i="12" s="1"/>
  <c r="F45" i="12" s="1"/>
  <c r="L54" i="12"/>
  <c r="M54" i="12" s="1"/>
  <c r="E45" i="12" s="1"/>
  <c r="L53" i="12"/>
  <c r="M53" i="12" s="1"/>
  <c r="D45" i="12" s="1"/>
  <c r="L52" i="12"/>
  <c r="M52" i="12" s="1"/>
  <c r="C45" i="12" s="1"/>
  <c r="L38" i="12"/>
  <c r="M38" i="12" s="1"/>
  <c r="G11" i="12" s="1"/>
  <c r="L32" i="12"/>
  <c r="L26" i="12"/>
  <c r="L21" i="12"/>
  <c r="M21" i="12" s="1"/>
  <c r="E8" i="12" s="1"/>
  <c r="L16" i="12"/>
  <c r="L37" i="12"/>
  <c r="L31" i="12"/>
  <c r="M31" i="12" s="1"/>
  <c r="E10" i="12" s="1"/>
  <c r="L35" i="12"/>
  <c r="L29" i="12"/>
  <c r="M29" i="12" s="1"/>
  <c r="C10" i="12" s="1"/>
  <c r="L23" i="12"/>
  <c r="M23" i="12" s="1"/>
  <c r="G8" i="12" s="1"/>
  <c r="L18" i="12"/>
  <c r="M18" i="12" s="1"/>
  <c r="G7" i="12" s="1"/>
  <c r="L34" i="12"/>
  <c r="M34" i="12" s="1"/>
  <c r="C11" i="12" s="1"/>
  <c r="L28" i="12"/>
  <c r="M28" i="12" s="1"/>
  <c r="G9" i="12" s="1"/>
  <c r="L22" i="12"/>
  <c r="M22" i="12" s="1"/>
  <c r="F8" i="12" s="1"/>
  <c r="L17" i="12"/>
  <c r="L33" i="12"/>
  <c r="L27" i="12"/>
  <c r="M27" i="12" s="1"/>
  <c r="F9" i="12" s="1"/>
  <c r="L25" i="12"/>
  <c r="L20" i="12"/>
  <c r="L15" i="12"/>
  <c r="M15" i="12" s="1"/>
  <c r="D7" i="12" s="1"/>
  <c r="L24" i="12"/>
  <c r="L19" i="12"/>
  <c r="L36" i="12"/>
  <c r="L30" i="12"/>
  <c r="M30" i="12" s="1"/>
  <c r="D10" i="12" s="1"/>
  <c r="L14" i="12"/>
  <c r="G37" i="7"/>
  <c r="I13" i="4"/>
  <c r="I12" i="4"/>
  <c r="K5" i="4"/>
  <c r="K10" i="4" s="1"/>
  <c r="K25" i="1" s="1"/>
  <c r="J10" i="4"/>
  <c r="J25" i="1" s="1"/>
  <c r="M24" i="12" l="1"/>
  <c r="C9" i="12" s="1"/>
  <c r="M16" i="12"/>
  <c r="E7" i="12" s="1"/>
  <c r="M35" i="12"/>
  <c r="D11" i="12" s="1"/>
  <c r="M19" i="12"/>
  <c r="C8" i="12" s="1"/>
  <c r="M20" i="12"/>
  <c r="D8" i="12" s="1"/>
  <c r="M58" i="12"/>
  <c r="D46" i="12" s="1"/>
  <c r="M59" i="12"/>
  <c r="E46" i="12" s="1"/>
  <c r="M32" i="12"/>
  <c r="F10" i="12" s="1"/>
  <c r="M33" i="12"/>
  <c r="G10" i="12" s="1"/>
  <c r="M64" i="12"/>
  <c r="E47" i="12" s="1"/>
  <c r="M17" i="12"/>
  <c r="F7" i="12" s="1"/>
  <c r="M63" i="12"/>
  <c r="D47" i="12" s="1"/>
  <c r="M36" i="12"/>
  <c r="E11" i="12" s="1"/>
  <c r="M62" i="12"/>
  <c r="C47" i="12" s="1"/>
  <c r="M75" i="12"/>
  <c r="F49" i="12" s="1"/>
  <c r="M76" i="12"/>
  <c r="G49" i="12" s="1"/>
  <c r="M14" i="12"/>
  <c r="C7" i="12" s="1"/>
  <c r="M25" i="12"/>
  <c r="D9" i="12" s="1"/>
  <c r="M37" i="12"/>
  <c r="F11" i="12" s="1"/>
  <c r="M26" i="12"/>
  <c r="E9" i="12" s="1"/>
  <c r="H21" i="4"/>
  <c r="I14" i="4"/>
  <c r="I16" i="4" s="1"/>
  <c r="I17" i="4" s="1"/>
  <c r="G24" i="7"/>
  <c r="G25" i="7"/>
  <c r="G26" i="7" s="1"/>
  <c r="H23" i="7" s="1"/>
  <c r="B40" i="11"/>
  <c r="B38" i="11"/>
  <c r="B33" i="1" s="1"/>
  <c r="F27" i="7"/>
  <c r="F31" i="7" s="1"/>
  <c r="E21" i="11"/>
  <c r="E22" i="11"/>
  <c r="E23" i="11" s="1"/>
  <c r="F20" i="11" s="1"/>
  <c r="D24" i="11"/>
  <c r="D31" i="11" s="1"/>
  <c r="J13" i="4"/>
  <c r="J12" i="4"/>
  <c r="K12" i="4"/>
  <c r="K13" i="4"/>
  <c r="I22" i="7"/>
  <c r="H19" i="4"/>
  <c r="H37" i="7"/>
  <c r="I21" i="4" l="1"/>
  <c r="K14" i="4"/>
  <c r="K16" i="4" s="1"/>
  <c r="K17" i="4" s="1"/>
  <c r="J14" i="4"/>
  <c r="J16" i="4" s="1"/>
  <c r="J17" i="4" s="1"/>
  <c r="E24" i="11"/>
  <c r="E31" i="11" s="1"/>
  <c r="F21" i="11"/>
  <c r="F22" i="11"/>
  <c r="F23" i="11" s="1"/>
  <c r="G20" i="11" s="1"/>
  <c r="I37" i="7"/>
  <c r="I19" i="4"/>
  <c r="J22" i="7"/>
  <c r="H24" i="7"/>
  <c r="H25" i="7"/>
  <c r="H26" i="7" s="1"/>
  <c r="I23" i="7" s="1"/>
  <c r="G27" i="7"/>
  <c r="G31" i="7" s="1"/>
  <c r="K21" i="4" l="1"/>
  <c r="C18" i="8" s="1"/>
  <c r="J21" i="4"/>
  <c r="F24" i="11"/>
  <c r="F31" i="11" s="1"/>
  <c r="H27" i="7"/>
  <c r="H31" i="7" s="1"/>
  <c r="J19" i="4"/>
  <c r="K22" i="7"/>
  <c r="C9" i="8"/>
  <c r="G8" i="8"/>
  <c r="E9" i="8"/>
  <c r="G11" i="8"/>
  <c r="E8" i="8"/>
  <c r="G9" i="8"/>
  <c r="D9" i="8"/>
  <c r="D11" i="8"/>
  <c r="D7" i="8"/>
  <c r="D10" i="8"/>
  <c r="G10" i="8"/>
  <c r="C8" i="8"/>
  <c r="F7" i="8"/>
  <c r="C11" i="8"/>
  <c r="F8" i="8"/>
  <c r="E7" i="8"/>
  <c r="C10" i="8"/>
  <c r="C7" i="8"/>
  <c r="F11" i="8"/>
  <c r="D8" i="8"/>
  <c r="F9" i="8"/>
  <c r="E10" i="8"/>
  <c r="E11" i="8"/>
  <c r="F10" i="8"/>
  <c r="G7" i="8"/>
  <c r="G21" i="11"/>
  <c r="G22" i="11"/>
  <c r="G23" i="11" s="1"/>
  <c r="G28" i="11" s="1"/>
  <c r="G29" i="11" s="1"/>
  <c r="L22" i="7"/>
  <c r="K19" i="4"/>
  <c r="B6" i="5"/>
  <c r="B9" i="5" s="1"/>
  <c r="B10" i="5" s="1"/>
  <c r="I24" i="7"/>
  <c r="I25" i="7"/>
  <c r="I26" i="7" s="1"/>
  <c r="J23" i="7" s="1"/>
  <c r="J37" i="7"/>
  <c r="E21" i="8" l="1"/>
  <c r="C19" i="8"/>
  <c r="D19" i="8"/>
  <c r="F20" i="8"/>
  <c r="D20" i="8"/>
  <c r="D18" i="8"/>
  <c r="E19" i="8"/>
  <c r="E20" i="8"/>
  <c r="G22" i="8"/>
  <c r="F19" i="8"/>
  <c r="D22" i="8"/>
  <c r="C21" i="8"/>
  <c r="E22" i="8"/>
  <c r="G20" i="8"/>
  <c r="G19" i="8"/>
  <c r="F18" i="8"/>
  <c r="L28" i="7"/>
  <c r="L29" i="7" s="1"/>
  <c r="G18" i="8"/>
  <c r="C20" i="8"/>
  <c r="D21" i="8"/>
  <c r="G21" i="8"/>
  <c r="F21" i="8"/>
  <c r="F22" i="8"/>
  <c r="C22" i="8"/>
  <c r="E18" i="8"/>
  <c r="B5" i="5"/>
  <c r="B12" i="5" s="1"/>
  <c r="G24" i="11"/>
  <c r="B41" i="11" s="1"/>
  <c r="J24" i="7"/>
  <c r="J25" i="7"/>
  <c r="J26" i="7" s="1"/>
  <c r="K23" i="7" s="1"/>
  <c r="K37" i="7"/>
  <c r="I27" i="7"/>
  <c r="I31" i="7" s="1"/>
  <c r="B12" i="1" l="1"/>
  <c r="B5" i="1"/>
  <c r="B17" i="1" s="1"/>
  <c r="B36" i="1"/>
  <c r="B15" i="5"/>
  <c r="G31" i="11"/>
  <c r="B37" i="11" s="1"/>
  <c r="B32" i="1" s="1"/>
  <c r="B9" i="6"/>
  <c r="B13" i="6" s="1"/>
  <c r="L37" i="7"/>
  <c r="B35" i="7" s="1"/>
  <c r="B11" i="1" s="1"/>
  <c r="J27" i="7"/>
  <c r="J31" i="7" s="1"/>
  <c r="K24" i="7"/>
  <c r="K25" i="7"/>
  <c r="K26" i="7" s="1"/>
  <c r="L23" i="7" s="1"/>
  <c r="B39" i="11" l="1"/>
  <c r="B34" i="1" s="1"/>
  <c r="B10" i="6"/>
  <c r="K27" i="7"/>
  <c r="K31" i="7" s="1"/>
  <c r="L24" i="7"/>
  <c r="L25" i="7"/>
  <c r="L26" i="7" s="1"/>
  <c r="L30" i="7" s="1"/>
  <c r="B42" i="11"/>
  <c r="L27" i="7" l="1"/>
  <c r="L31" i="7" s="1"/>
  <c r="B34" i="7" l="1"/>
  <c r="B10" i="1" s="1"/>
  <c r="B33" i="7"/>
  <c r="B9" i="1" s="1"/>
</calcChain>
</file>

<file path=xl/sharedStrings.xml><?xml version="1.0" encoding="utf-8"?>
<sst xmlns="http://schemas.openxmlformats.org/spreadsheetml/2006/main" count="300" uniqueCount="278">
  <si>
    <t>MUSIC CATALOG | INVESTMENT DASHBOARD</t>
  </si>
  <si>
    <t>KEY INVESTMENT METRICS</t>
  </si>
  <si>
    <t>DCF enterprise value</t>
  </si>
  <si>
    <t>Multiples valuation</t>
  </si>
  <si>
    <t>Proposed purchase price</t>
  </si>
  <si>
    <t>Equity required</t>
  </si>
  <si>
    <t>Levered investor IRR</t>
  </si>
  <si>
    <t>Equity MOIC</t>
  </si>
  <si>
    <t>Unlevered investor IRR</t>
  </si>
  <si>
    <t>DCF premium / (discount) to price</t>
  </si>
  <si>
    <t>INVESTMENT DECISION FRAMEWORK</t>
  </si>
  <si>
    <t>DCF vs purchase price</t>
  </si>
  <si>
    <t>Model purpose</t>
  </si>
  <si>
    <t>Acquisition screening / scenario exploration</t>
  </si>
  <si>
    <t>Important limitation</t>
  </si>
  <si>
    <t>Illustrative, not an investment recommendation</t>
  </si>
  <si>
    <t>REVENUE TREND ($)</t>
  </si>
  <si>
    <t>Year</t>
  </si>
  <si>
    <t>Revenue</t>
  </si>
  <si>
    <t>FIVE-YEAR ACQUISITION UNDERWRITING</t>
  </si>
  <si>
    <t>LTM NLS/NPS proxy (pre-tax)</t>
  </si>
  <si>
    <t>Five-year purchase TEV</t>
  </si>
  <si>
    <t>Five-year levered IRR</t>
  </si>
  <si>
    <t>Five-year unlevered IRR</t>
  </si>
  <si>
    <t>Five-year equity MOIC</t>
  </si>
  <si>
    <t>Parity entry / exit check</t>
  </si>
  <si>
    <t>DCF mid-year enterprise value</t>
  </si>
  <si>
    <t>INVESTMENT MODEL INTERPRETATION</t>
  </si>
  <si>
    <t>Five-year underwriting: LTM NLS/NPS proxy × entry multiple; levered / unlevered IRR; financing; exit parity.</t>
  </si>
  <si>
    <t>Ten-year DCF: after-tax unlevered FCF, mid-year discounting and year-end perpetual terminal value.</t>
  </si>
  <si>
    <t>All financial data and assumptions are hypothetical and for illustrative investment analysis only.</t>
  </si>
  <si>
    <t>MODEL INPUTS | HYPOTHETICAL DATA</t>
  </si>
  <si>
    <t>CATALOG &amp; TRANSACTION ASSUMPTIONS</t>
  </si>
  <si>
    <t>Historical base year</t>
  </si>
  <si>
    <t>Projection start year</t>
  </si>
  <si>
    <t>Annual streaming growth</t>
  </si>
  <si>
    <t>Annual performance growth</t>
  </si>
  <si>
    <t>Annual mechanical growth</t>
  </si>
  <si>
    <t>Annual sync growth</t>
  </si>
  <si>
    <t>Annual other growth</t>
  </si>
  <si>
    <t>Royalty admin fee (% revenue)</t>
  </si>
  <si>
    <t>Other operating cost (% revenue)</t>
  </si>
  <si>
    <t>Tax rate (simplified)</t>
  </si>
  <si>
    <t>Unlevered discount rate / WACC proxy</t>
  </si>
  <si>
    <t>Terminal cash-flow growth rate</t>
  </si>
  <si>
    <t>Cross-check multiple: NLS/NPS proxy (pre-tax)</t>
  </si>
  <si>
    <t>Entry TEV / LTM NLS/NPS multiple</t>
  </si>
  <si>
    <t>Debt financing (% of purchase)</t>
  </si>
  <si>
    <t>Annual debt interest rate</t>
  </si>
  <si>
    <t>Annual principal amortization (% original debt)</t>
  </si>
  <si>
    <t>10-year exit TEV / NLS/NPS multiple</t>
  </si>
  <si>
    <t>Exit transaction costs (% exit EV)</t>
  </si>
  <si>
    <t>Initial acquisition fees (% price)</t>
  </si>
  <si>
    <t>Annual streaming decay (bear scenario)</t>
  </si>
  <si>
    <t>Annual streaming growth (bull scenario)</t>
  </si>
  <si>
    <t>Annual sync growth (bear scenario)</t>
  </si>
  <si>
    <t>Annual sync growth (bull scenario)</t>
  </si>
  <si>
    <t>SOURCE &amp; USE NOTES</t>
  </si>
  <si>
    <t>All blue cells are illustrative assumptions, NOT sourced market benchmarks.</t>
  </si>
  <si>
    <t>Replace with licensed royalty statements, contract economics, and transaction evidence.</t>
  </si>
  <si>
    <t>Cash flows reflect a simplified royalty-rights acquisition; no working capital/capex assumed.</t>
  </si>
  <si>
    <t>Terminal value assumes continuing rights and must be adjusted for term expirations.</t>
  </si>
  <si>
    <t>Interest tax shield and full accounting statements are not modeled.</t>
  </si>
  <si>
    <t>5-YEAR CATALOG UNDERWRITING INPUTS</t>
  </si>
  <si>
    <t>Catalog type / rights basis</t>
  </si>
  <si>
    <t>Mixed rights (illustrative)</t>
  </si>
  <si>
    <t>Underwritten ownership share</t>
  </si>
  <si>
    <t>Five-year entry multiple (TEV / LTM NLS/NPS)</t>
  </si>
  <si>
    <t>Five-year exit multiple (TEV / Year 5 NLS/NPS)</t>
  </si>
  <si>
    <t>Five-year debt-to-capitalization</t>
  </si>
  <si>
    <t>Five-year interest rate</t>
  </si>
  <si>
    <t>Five-year initial transaction fees (% TEV)</t>
  </si>
  <si>
    <t>Five-year exit costs (% exit TEV)</t>
  </si>
  <si>
    <t>Debt amortization / year (% original debt)</t>
  </si>
  <si>
    <t>Exit after year</t>
  </si>
  <si>
    <t>Five-year earnings tax rate</t>
  </si>
  <si>
    <t>Five-year risk commentary</t>
  </si>
  <si>
    <t>Illustrative; risk / rights type should guide WACC, multiples and financing.</t>
  </si>
  <si>
    <t>HISTORICAL ROYALTY REVENUE</t>
  </si>
  <si>
    <t>REVENUE BY RIGHT / SOURCE</t>
  </si>
  <si>
    <t>Streaming</t>
  </si>
  <si>
    <t>Performance</t>
  </si>
  <si>
    <t>Mechanical</t>
  </si>
  <si>
    <t>Synchronization</t>
  </si>
  <si>
    <t>Other</t>
  </si>
  <si>
    <t>TOTAL ROYALTY REVENUE</t>
  </si>
  <si>
    <t>YoY growth</t>
  </si>
  <si>
    <t>Admin fees</t>
  </si>
  <si>
    <t>Other operating costs</t>
  </si>
  <si>
    <t>CASH FLOW BEFORE TAX</t>
  </si>
  <si>
    <t>Taxes</t>
  </si>
  <si>
    <t>UNLEVERED AFTER-TAX CASH FLOW</t>
  </si>
  <si>
    <t>LTM NLS/NPS proxy (pre-tax, after admin and operating costs)</t>
  </si>
  <si>
    <t>10-YEAR ROYALTY FORECAST</t>
  </si>
  <si>
    <t>REVENUE PROJECTION</t>
  </si>
  <si>
    <t>Administration fees</t>
  </si>
  <si>
    <t>Operating costs</t>
  </si>
  <si>
    <t>PRE-TAX CASH FLOW</t>
  </si>
  <si>
    <t>Present value of annual cash flow</t>
  </si>
  <si>
    <t>Projected NLS/NPS proxy (pre-tax)</t>
  </si>
  <si>
    <t>DISCOUNTED CASH FLOW VALUATION</t>
  </si>
  <si>
    <t>ENTERPRISE VALUE BRIDGE</t>
  </si>
  <si>
    <t>PV of cash flows (mid-year convention)</t>
  </si>
  <si>
    <t>Year 10 cash flow</t>
  </si>
  <si>
    <t>Terminal growth rate</t>
  </si>
  <si>
    <t>Discount rate</t>
  </si>
  <si>
    <t>Terminal value at year 10</t>
  </si>
  <si>
    <t>PV of terminal value</t>
  </si>
  <si>
    <t>DCF ENTERPRISE VALUE</t>
  </si>
  <si>
    <t>2025 normalized after-tax cash flow</t>
  </si>
  <si>
    <t>Implied DCF / LTM NLS/NPS proxy</t>
  </si>
  <si>
    <t>Note: cash flows are simplified after-tax proxies; WACC and tax assumptions must be consistent.</t>
  </si>
  <si>
    <t>Illustrative perpetuity terminal value; validate rights duration and decay.</t>
  </si>
  <si>
    <t>MULTIPLES &amp; TRIANGULATION</t>
  </si>
  <si>
    <t>NORMALIZED LTM NLS/NPS PROXY VALUATION</t>
  </si>
  <si>
    <t>Normalized LTM NLS/NPS proxy (pre-tax)</t>
  </si>
  <si>
    <t>Selected TEV / LTM NLS/NPS multiple</t>
  </si>
  <si>
    <t>MULTIPLES-BASED ENTERPRISE VALUE</t>
  </si>
  <si>
    <t>Difference: DCF less multiples</t>
  </si>
  <si>
    <t>Low valuation (90% multiples)</t>
  </si>
  <si>
    <t>High valuation (110% DCF)</t>
  </si>
  <si>
    <t>Valuation uses LTM NLS/NPS capitalization multiples; the pre-tax earnings proxy is hypothetical and simplified.</t>
  </si>
  <si>
    <t>ACQUISITION FINANCING &amp; INVESTOR RETURNS</t>
  </si>
  <si>
    <t>SOURCES &amp; USES</t>
  </si>
  <si>
    <t>Purchase multiple</t>
  </si>
  <si>
    <t>Acquisition price</t>
  </si>
  <si>
    <t>Transaction fees</t>
  </si>
  <si>
    <t>TOTAL INITIAL USES</t>
  </si>
  <si>
    <t>Initial debt</t>
  </si>
  <si>
    <t>INITIAL EQUITY</t>
  </si>
  <si>
    <t>Debt percentage</t>
  </si>
  <si>
    <t>Annual interest rate</t>
  </si>
  <si>
    <t>Amortization (% original debt)</t>
  </si>
  <si>
    <t>EXIT AND CASH DISTRIBUTIONS</t>
  </si>
  <si>
    <t>Projection year</t>
  </si>
  <si>
    <t>After-tax unlevered cash flow (operating)</t>
  </si>
  <si>
    <t>Opening debt</t>
  </si>
  <si>
    <t>Interest expense</t>
  </si>
  <si>
    <t>Principal repayment</t>
  </si>
  <si>
    <t>Closing debt</t>
  </si>
  <si>
    <t>Cash distributed to equity</t>
  </si>
  <si>
    <t>Exit TEV (year-10 NLS/NPS multiple)</t>
  </si>
  <si>
    <t>Exit fees</t>
  </si>
  <si>
    <t>Exit equity proceeds</t>
  </si>
  <si>
    <t>TOTAL EQUITY CASH FLOW</t>
  </si>
  <si>
    <t>Levered IRR</t>
  </si>
  <si>
    <t>Unlevered IRR</t>
  </si>
  <si>
    <t>Unlevered investor cash flows (after-tax)</t>
  </si>
  <si>
    <t>VALUATION &amp; RETURN SENSITIVITIES</t>
  </si>
  <si>
    <t>DCF VALUE | DISCOUNT RATE × TERMINAL GROWTH</t>
  </si>
  <si>
    <t>Discount rate ↓ / terminal growth →</t>
  </si>
  <si>
    <t>EXIT EQUITY PROCEEDS | NLS/NPS ENTRY × EXIT MULTIPLES</t>
  </si>
  <si>
    <t>Entry multiple ↓ / exit multiple →</t>
  </si>
  <si>
    <t>Second grid shows exit equity proceeds, not IRR; annual distributions are in Acquisition.</t>
  </si>
  <si>
    <t>RIGHTS &amp; EARNINGS BRIDGE</t>
  </si>
  <si>
    <t>Recorded music NLS / publishing NPS are distinct. Mixed royalty stream here is an illustrative cash-flow proxy.</t>
  </si>
  <si>
    <t>MODEL INTERPRETATION</t>
  </si>
  <si>
    <t>Rights underwritten</t>
  </si>
  <si>
    <t>Acquired ownership / participation</t>
  </si>
  <si>
    <t>LTM total royalty receipts ($)</t>
  </si>
  <si>
    <t>Less: administration and costs ($)</t>
  </si>
  <si>
    <t>LTM NLS/NPS proxy before tax ($)</t>
  </si>
  <si>
    <t>LTM attributable share ($)</t>
  </si>
  <si>
    <t>After-tax annual operating cash flow ($)</t>
  </si>
  <si>
    <t>Proxy multiple method</t>
  </si>
  <si>
    <t>Pre-tax NLS/NPS proxy; not the same as after-tax FCF multiple</t>
  </si>
  <si>
    <t>Rights caveat</t>
  </si>
  <si>
    <t>Replace model with contractual statements for master NLS or publisher NPS before live underwriting.</t>
  </si>
  <si>
    <t>Forecast caveat</t>
  </si>
  <si>
    <t>Sync is episodic; smooth growth here is only an illustrative assumption.</t>
  </si>
  <si>
    <t>Valuation caveat</t>
  </si>
  <si>
    <t>Exit multiple uses year-5/10 pre-tax proxy, DCF discounts after-tax cash flow.</t>
  </si>
  <si>
    <t>ILLUSTRATIVE STREAM MIX | LTM RECEIPTS ($)</t>
  </si>
  <si>
    <t>Sync licensing</t>
  </si>
  <si>
    <t>TOTAL RECEIPTS</t>
  </si>
  <si>
    <t>SOURCES &amp; USES | FIVE-YEAR ACQUISITION</t>
  </si>
  <si>
    <t>VALUATION / PURCHASE PRICE</t>
  </si>
  <si>
    <t>LTM NLS/NPS proxy, attributable</t>
  </si>
  <si>
    <t>Entry capitalization multiple</t>
  </si>
  <si>
    <t>Purchase enterprise value</t>
  </si>
  <si>
    <t>Initial transaction fees</t>
  </si>
  <si>
    <t>TOTAL USES</t>
  </si>
  <si>
    <t>TRANSACTION FINANCING</t>
  </si>
  <si>
    <t>Acquisition debt</t>
  </si>
  <si>
    <t>Sponsor / investor equity</t>
  </si>
  <si>
    <t>TOTAL SOURCES</t>
  </si>
  <si>
    <t>Sources less uses check</t>
  </si>
  <si>
    <t>KEY FINANCING ASSUMPTIONS</t>
  </si>
  <si>
    <t>Debt / purchase enterprise value</t>
  </si>
  <si>
    <t>Equity / total uses</t>
  </si>
  <si>
    <t>Debt borrowing rate</t>
  </si>
  <si>
    <t>Entry multiple</t>
  </si>
  <si>
    <t>Note: this is a catalog asset acquisition model, not a corporate equity value / net debt TEV bridge.</t>
  </si>
  <si>
    <t>Financing schedule models acquisition enterprise value, transaction fees, and debt/equity capital sources.</t>
  </si>
  <si>
    <t>FIVE-YEAR UNDERWRITING | NLS/NPS &amp; INVESTOR RETURNS</t>
  </si>
  <si>
    <t>TRANSACTION SUMMARY</t>
  </si>
  <si>
    <t>LTM NLS/NPS proxy</t>
  </si>
  <si>
    <t>Exit multiple</t>
  </si>
  <si>
    <t>Initial acquisition debt</t>
  </si>
  <si>
    <t>Initial equity contribution</t>
  </si>
  <si>
    <t>OPERATING CASH FLOW &amp; DEBT ROLL-FORWARD</t>
  </si>
  <si>
    <t>Year / projection period</t>
  </si>
  <si>
    <t>Growth in proxy</t>
  </si>
  <si>
    <t>After-tax unlevered operating CF</t>
  </si>
  <si>
    <t>Interest expense (negative)</t>
  </si>
  <si>
    <t>Principal repayment (negative)</t>
  </si>
  <si>
    <t>Distributable equity cash flow</t>
  </si>
  <si>
    <t>Exit TEV from year-5 NLS/NPS</t>
  </si>
  <si>
    <t>Exit fees (negative)</t>
  </si>
  <si>
    <t>Debt repaid at exit (negative)</t>
  </si>
  <si>
    <t>Net exit equity proceeds</t>
  </si>
  <si>
    <t>Total levered investor cash flow</t>
  </si>
  <si>
    <t>Unlevered investor cash flow</t>
  </si>
  <si>
    <t>INVESTOR RETURNS &amp; DECISION METRICS</t>
  </si>
  <si>
    <t>Levered 5Y IRR</t>
  </si>
  <si>
    <t>Unlevered 5Y IRR</t>
  </si>
  <si>
    <t>Unlevered MOIC</t>
  </si>
  <si>
    <t>Year-5 run-rate equity cash yield</t>
  </si>
  <si>
    <t>Spread: levered IRR - interest rate</t>
  </si>
  <si>
    <t>Parity exit vs entry multiple</t>
  </si>
  <si>
    <t>FIVE-YEAR IRR | ENTRY / EXIT / FINANCING</t>
  </si>
  <si>
    <t>SCENARIO A | ENTRY TEV MULTIPLE × EXIT TEV MULTIPLE</t>
  </si>
  <si>
    <t>Scenario A 1-1</t>
  </si>
  <si>
    <t>Scenario A 1-2</t>
  </si>
  <si>
    <t>Scenario A 1-3</t>
  </si>
  <si>
    <t>Scenario A 1-4</t>
  </si>
  <si>
    <t>Scenario A 1-5</t>
  </si>
  <si>
    <t>Scenario A 2-1</t>
  </si>
  <si>
    <t>Scenario A 2-2</t>
  </si>
  <si>
    <t>Scenario A 2-3</t>
  </si>
  <si>
    <t>Scenario A 2-4</t>
  </si>
  <si>
    <t>Scenario A 2-5</t>
  </si>
  <si>
    <t>Scenario A 3-1</t>
  </si>
  <si>
    <t>Scenario A 3-2</t>
  </si>
  <si>
    <t>Scenario A 3-3</t>
  </si>
  <si>
    <t>Scenario A 3-4</t>
  </si>
  <si>
    <t>Scenario A 3-5</t>
  </si>
  <si>
    <t>Scenario A 4-1</t>
  </si>
  <si>
    <t>Scenario A 4-2</t>
  </si>
  <si>
    <t>Scenario A 4-3</t>
  </si>
  <si>
    <t>Scenario A 4-4</t>
  </si>
  <si>
    <t>Scenario A 4-5</t>
  </si>
  <si>
    <t>Scenario A 5-1</t>
  </si>
  <si>
    <t>Scenario A 5-2</t>
  </si>
  <si>
    <t>Scenario A 5-3</t>
  </si>
  <si>
    <t>Scenario A 5-4</t>
  </si>
  <si>
    <t>Scenario A 5-5</t>
  </si>
  <si>
    <t>SCENARIO B | DEBT PERCENTAGE × INTEREST RATE</t>
  </si>
  <si>
    <t>Debt proportion ↓ / annual borrowing cost →</t>
  </si>
  <si>
    <t>Scenario B 1-1</t>
  </si>
  <si>
    <t>Scenario B 1-2</t>
  </si>
  <si>
    <t>Scenario B 1-3</t>
  </si>
  <si>
    <t>Scenario B 1-4</t>
  </si>
  <si>
    <t>Scenario B 1-5</t>
  </si>
  <si>
    <t>Scenario B 2-1</t>
  </si>
  <si>
    <t>Scenario B 2-2</t>
  </si>
  <si>
    <t>Scenario B 2-3</t>
  </si>
  <si>
    <t>Scenario B 2-4</t>
  </si>
  <si>
    <t>Scenario B 2-5</t>
  </si>
  <si>
    <t>Scenario B 3-1</t>
  </si>
  <si>
    <t>Scenario B 3-2</t>
  </si>
  <si>
    <t>Scenario B 3-3</t>
  </si>
  <si>
    <t>Scenario B 3-4</t>
  </si>
  <si>
    <t>Scenario B 3-5</t>
  </si>
  <si>
    <t>Scenario B 4-1</t>
  </si>
  <si>
    <t>Scenario B 4-2</t>
  </si>
  <si>
    <t>Scenario B 4-3</t>
  </si>
  <si>
    <t>Scenario B 4-4</t>
  </si>
  <si>
    <t>Scenario B 4-5</t>
  </si>
  <si>
    <t>Scenario B 5-1</t>
  </si>
  <si>
    <t>Scenario B 5-2</t>
  </si>
  <si>
    <t>Scenario B 5-3</t>
  </si>
  <si>
    <t>Scenario B 5-4</t>
  </si>
  <si>
    <t>Scenario B 5-5</t>
  </si>
  <si>
    <t>Scenario grid assumptions reflect annual distributions, debt amortization, interest and an exit at year 5.</t>
  </si>
  <si>
    <t>The two matrices are independent; they hold all other assumptions constant at Assumptions values.</t>
  </si>
  <si>
    <t>A: entry / exit price; B: leverage / borrowing cost; figures are illustrative.</t>
  </si>
  <si>
    <t>Blue = hypothetical inputs | green = cross-sheet references | model values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</si>
</sst>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[Red]\(0.0%\);\-"/>
    <numFmt numFmtId="165" formatCode="0.0&quot;x&quot;"/>
    <numFmt numFmtId="166" formatCode="\$#,##0;[Red]\(\$#,##0\);\-"/>
    <numFmt numFmtId="167" formatCode="0.0&quot;x&quot;;[Red]\(0.0&quot;x&quot;\);\-"/>
  </numFmts>
  <fonts count="15">
    <font>
      <sz val="11"/>
      <name val="Carlito"/>
    </font>
    <font>
      <b/>
      <sz val="11"/>
      <name val="Carlito"/>
    </font>
    <font>
      <sz val="11"/>
      <color rgb="FF627184"/>
      <name val="Times New Roman"/>
    </font>
    <font>
      <sz val="11"/>
      <name val="Times New Roman"/>
    </font>
    <font>
      <sz val="11"/>
      <color rgb="FF008000"/>
      <name val="Times New Roman"/>
    </font>
    <font>
      <sz val="11"/>
      <color rgb="FF000000"/>
      <name val="Times New Roman"/>
    </font>
    <font>
      <sz val="11"/>
      <color rgb="FF0000FF"/>
      <name val="Times New Roman"/>
    </font>
    <font>
      <b/>
      <sz val="11"/>
      <name val="Times New Roman"/>
    </font>
    <font>
      <b/>
      <sz val="11"/>
      <color rgb="FF000000"/>
      <name val="Times New Roman"/>
    </font>
    <font>
      <sz val="11"/>
      <color rgb="FF52677E"/>
      <name val="Times New Roman"/>
    </font>
    <font>
      <b/>
      <sz val="14"/>
      <color rgb="FF17212F"/>
      <name val="Times New Roman"/>
    </font>
    <font>
      <b/>
      <sz val="17"/>
      <color rgb="FF17212F"/>
      <name val="Times New Roman"/>
    </font>
    <font>
      <b/>
      <sz val="11"/>
      <color rgb="FF17212F"/>
      <name val="Times New Roman"/>
    </font>
    <font>
      <sz val="11"/>
      <color rgb="FF627184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1C2"/>
      </patternFill>
    </fill>
    <fill>
      <patternFill patternType="solid">
        <fgColor rgb="FFF1F6FF"/>
      </patternFill>
    </fill>
    <fill>
      <patternFill patternType="solid">
        <fgColor rgb="FFDDF4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166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166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3" fillId="0" borderId="0" xfId="0" applyFont="1" applyAlignment="1">
      <alignment wrapText="1"/>
    </xf>
    <xf numFmtId="0" fontId="3" fillId="3" borderId="0" xfId="0" applyFont="1" applyFill="1"/>
    <xf numFmtId="164" fontId="6" fillId="3" borderId="0" xfId="0" applyNumberFormat="1" applyFont="1" applyFill="1"/>
    <xf numFmtId="167" fontId="6" fillId="3" borderId="0" xfId="0" applyNumberFormat="1" applyFont="1" applyFill="1"/>
    <xf numFmtId="0" fontId="6" fillId="3" borderId="0" xfId="0" applyFont="1" applyFill="1"/>
    <xf numFmtId="166" fontId="6" fillId="0" borderId="0" xfId="0" applyNumberFormat="1" applyFont="1"/>
    <xf numFmtId="0" fontId="7" fillId="0" borderId="0" xfId="0" applyFont="1"/>
    <xf numFmtId="166" fontId="8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0" fontId="8" fillId="4" borderId="0" xfId="0" applyFont="1" applyFill="1"/>
    <xf numFmtId="166" fontId="8" fillId="4" borderId="0" xfId="0" applyNumberFormat="1" applyFont="1" applyFill="1"/>
    <xf numFmtId="165" fontId="5" fillId="0" borderId="0" xfId="0" applyNumberFormat="1" applyFont="1"/>
    <xf numFmtId="164" fontId="8" fillId="4" borderId="0" xfId="0" applyNumberFormat="1" applyFont="1" applyFill="1"/>
    <xf numFmtId="167" fontId="8" fillId="4" borderId="0" xfId="0" applyNumberFormat="1" applyFont="1" applyFill="1"/>
    <xf numFmtId="0" fontId="12" fillId="5" borderId="0" xfId="0" applyFont="1" applyFill="1"/>
    <xf numFmtId="0" fontId="12" fillId="0" borderId="1" xfId="0" applyFont="1" applyFill="1" applyBorder="1"/>
    <xf numFmtId="0" fontId="0" fillId="0" borderId="1" xfId="0" applyFill="1" applyBorder="1"/>
    <xf numFmtId="0" fontId="3" fillId="0" borderId="0" xfId="0" applyFont="1" applyFill="1"/>
    <xf numFmtId="0" fontId="0" fillId="0" borderId="0" xfId="0" applyFill="1"/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/>
    <xf numFmtId="0" fontId="2" fillId="0" borderId="0" xfId="0" applyFont="1" applyFill="1"/>
    <xf numFmtId="166" fontId="4" fillId="0" borderId="0" xfId="0" applyNumberFormat="1" applyFont="1" applyFill="1"/>
    <xf numFmtId="164" fontId="4" fillId="0" borderId="0" xfId="0" applyNumberFormat="1" applyFont="1" applyFill="1"/>
    <xf numFmtId="165" fontId="4" fillId="0" borderId="0" xfId="0" applyNumberFormat="1" applyFont="1" applyFill="1"/>
    <xf numFmtId="0" fontId="5" fillId="0" borderId="0" xfId="0" applyFont="1" applyFill="1"/>
    <xf numFmtId="0" fontId="4" fillId="0" borderId="0" xfId="0" applyFont="1" applyFill="1"/>
    <xf numFmtId="166" fontId="3" fillId="0" borderId="0" xfId="0" applyNumberFormat="1" applyFont="1" applyFill="1"/>
    <xf numFmtId="164" fontId="3" fillId="0" borderId="0" xfId="0" applyNumberFormat="1" applyFont="1" applyFill="1"/>
    <xf numFmtId="167" fontId="3" fillId="0" borderId="0" xfId="0" applyNumberFormat="1" applyFont="1" applyFill="1"/>
    <xf numFmtId="0" fontId="13" fillId="0" borderId="0" xfId="0" applyFont="1" applyFill="1"/>
    <xf numFmtId="166" fontId="5" fillId="0" borderId="0" xfId="0" applyNumberFormat="1" applyFont="1" applyFill="1"/>
    <xf numFmtId="0" fontId="14" fillId="0" borderId="0" xfId="0" applyFont="1"/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3" fillId="0" borderId="1" xfId="0" applyFont="1" applyBorder="1"/>
    <xf numFmtId="166" fontId="5" fillId="0" borderId="1" xfId="0" applyNumberFormat="1" applyFont="1" applyBorder="1"/>
    <xf numFmtId="0" fontId="10" fillId="0" borderId="0" xfId="0" applyFont="1" applyFill="1"/>
    <xf numFmtId="0" fontId="9" fillId="0" borderId="0" xfId="0" applyFont="1" applyFill="1"/>
    <xf numFmtId="0" fontId="8" fillId="0" borderId="0" xfId="0" applyFont="1" applyFill="1"/>
    <xf numFmtId="166" fontId="8" fillId="0" borderId="0" xfId="0" applyNumberFormat="1" applyFont="1" applyFill="1"/>
    <xf numFmtId="164" fontId="1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workbookViewId="0">
      <selection activeCell="E13" sqref="E13"/>
    </sheetView>
  </sheetViews>
  <sheetFormatPr defaultRowHeight="14"/>
  <cols>
    <col min="1" max="1" width="39" style="34" customWidth="1"/>
    <col min="2" max="12" width="17" style="34" customWidth="1"/>
    <col min="13" max="15" width="16" style="34" customWidth="1"/>
    <col min="16" max="16384" width="8.6640625" style="34"/>
  </cols>
  <sheetData>
    <row r="1" spans="1:13" ht="2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7"/>
    </row>
    <row r="2" spans="1:13">
      <c r="A2" s="38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3" s="32" customForma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3">
      <c r="A5" s="33" t="s">
        <v>2</v>
      </c>
      <c r="B5" s="39">
        <f>DCF!B12</f>
        <v>8817528.5017379634</v>
      </c>
      <c r="C5" s="33"/>
      <c r="D5" s="33"/>
      <c r="E5" s="33"/>
      <c r="F5" s="33"/>
      <c r="G5" s="33"/>
      <c r="H5" s="33"/>
      <c r="I5" s="33"/>
      <c r="J5" s="33"/>
      <c r="K5" s="33"/>
    </row>
    <row r="6" spans="1:13">
      <c r="A6" s="33" t="s">
        <v>3</v>
      </c>
      <c r="B6" s="39">
        <f>Multiples!B7</f>
        <v>13283400</v>
      </c>
      <c r="C6" s="33"/>
      <c r="D6" s="33"/>
      <c r="E6" s="33"/>
      <c r="F6" s="33"/>
      <c r="G6" s="33"/>
      <c r="H6" s="33"/>
      <c r="I6" s="33"/>
      <c r="J6" s="33"/>
      <c r="K6" s="33"/>
    </row>
    <row r="7" spans="1:13">
      <c r="A7" s="33" t="s">
        <v>4</v>
      </c>
      <c r="B7" s="39">
        <f>Acquisition!B7</f>
        <v>12176450</v>
      </c>
      <c r="C7" s="33"/>
      <c r="D7" s="33"/>
      <c r="E7" s="33"/>
      <c r="F7" s="33"/>
      <c r="G7" s="33"/>
      <c r="H7" s="33"/>
      <c r="I7" s="33"/>
      <c r="J7" s="33"/>
      <c r="K7" s="33"/>
    </row>
    <row r="8" spans="1:13">
      <c r="A8" s="33" t="s">
        <v>5</v>
      </c>
      <c r="B8" s="39">
        <f>Acquisition!B12</f>
        <v>5053226.75</v>
      </c>
      <c r="C8" s="33"/>
      <c r="D8" s="33"/>
      <c r="E8" s="33"/>
      <c r="F8" s="33"/>
      <c r="G8" s="33"/>
      <c r="H8" s="33"/>
      <c r="I8" s="33"/>
      <c r="J8" s="33"/>
      <c r="K8" s="33"/>
    </row>
    <row r="9" spans="1:13">
      <c r="A9" s="33" t="s">
        <v>6</v>
      </c>
      <c r="B9" s="40">
        <f>Acquisition!B33</f>
        <v>8.2039307427102415E-2</v>
      </c>
      <c r="C9" s="33"/>
      <c r="D9" s="33"/>
      <c r="E9" s="33"/>
      <c r="F9" s="33"/>
      <c r="G9" s="33"/>
      <c r="H9" s="33"/>
      <c r="I9" s="33"/>
      <c r="J9" s="33"/>
      <c r="K9" s="33"/>
    </row>
    <row r="10" spans="1:13">
      <c r="A10" s="33" t="s">
        <v>7</v>
      </c>
      <c r="B10" s="41">
        <f>Acquisition!B34</f>
        <v>2.1609894222794286</v>
      </c>
      <c r="C10" s="33"/>
      <c r="D10" s="33"/>
      <c r="E10" s="33"/>
      <c r="F10" s="33"/>
      <c r="G10" s="33"/>
      <c r="H10" s="33"/>
      <c r="I10" s="33"/>
      <c r="J10" s="33"/>
      <c r="K10" s="33"/>
    </row>
    <row r="11" spans="1:13">
      <c r="A11" s="33" t="s">
        <v>8</v>
      </c>
      <c r="B11" s="40">
        <f>Acquisition!B35</f>
        <v>7.8789765649722288E-2</v>
      </c>
      <c r="C11" s="33"/>
      <c r="D11" s="33"/>
      <c r="E11" s="33"/>
      <c r="F11" s="33"/>
      <c r="G11" s="33"/>
      <c r="H11" s="33"/>
      <c r="I11" s="33"/>
      <c r="J11" s="33"/>
      <c r="K11" s="33"/>
    </row>
    <row r="12" spans="1:13">
      <c r="A12" s="33" t="s">
        <v>9</v>
      </c>
      <c r="B12" s="40">
        <f>DCF!B12/Acquisition!B7-1</f>
        <v>-0.27585392279868404</v>
      </c>
      <c r="C12" s="33"/>
      <c r="D12" s="33"/>
      <c r="E12" s="33"/>
      <c r="F12" s="33"/>
      <c r="G12" s="33"/>
      <c r="H12" s="33"/>
      <c r="I12" s="33"/>
      <c r="J12" s="33"/>
      <c r="K12" s="33"/>
    </row>
    <row r="13" spans="1: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3">
      <c r="A15" s="37" t="s">
        <v>10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3">
      <c r="A17" s="33" t="s">
        <v>11</v>
      </c>
      <c r="B17" s="42" t="str">
        <f>IF(B5&gt;B7,"DCF ABOVE PRICE","PRICE ABOVE DCF")</f>
        <v>PRICE ABOVE DCF</v>
      </c>
      <c r="C17" s="33"/>
      <c r="D17" s="33"/>
      <c r="E17" s="33"/>
      <c r="F17" s="33"/>
      <c r="G17" s="33"/>
      <c r="H17" s="33"/>
      <c r="I17" s="33"/>
      <c r="J17" s="33"/>
      <c r="K17" s="33"/>
    </row>
    <row r="18" spans="1:13">
      <c r="A18" s="33" t="s">
        <v>12</v>
      </c>
      <c r="B18" s="33" t="s">
        <v>13</v>
      </c>
      <c r="C18" s="33"/>
      <c r="D18" s="33"/>
      <c r="E18" s="33"/>
      <c r="F18" s="33"/>
      <c r="G18" s="33"/>
      <c r="H18" s="33"/>
      <c r="I18" s="33"/>
      <c r="J18" s="33"/>
      <c r="K18" s="33"/>
    </row>
    <row r="19" spans="1:13">
      <c r="A19" s="33" t="s">
        <v>14</v>
      </c>
      <c r="B19" s="33" t="s">
        <v>15</v>
      </c>
      <c r="C19" s="33"/>
      <c r="D19" s="33"/>
      <c r="E19" s="33"/>
      <c r="F19" s="33"/>
      <c r="G19" s="33"/>
      <c r="H19" s="33"/>
      <c r="I19" s="33"/>
      <c r="J19" s="33"/>
      <c r="K19" s="33"/>
    </row>
    <row r="20" spans="1:1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3">
      <c r="A22" s="37" t="s">
        <v>16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3">
      <c r="A24" s="33" t="s">
        <v>17</v>
      </c>
      <c r="B24" s="43">
        <f>Forecast!B4</f>
        <v>2026</v>
      </c>
      <c r="C24" s="43">
        <f>Forecast!C4</f>
        <v>2027</v>
      </c>
      <c r="D24" s="43">
        <f>Forecast!D4</f>
        <v>2028</v>
      </c>
      <c r="E24" s="43">
        <f>Forecast!E4</f>
        <v>2029</v>
      </c>
      <c r="F24" s="43">
        <f>Forecast!F4</f>
        <v>2030</v>
      </c>
      <c r="G24" s="43">
        <f>Forecast!G4</f>
        <v>2031</v>
      </c>
      <c r="H24" s="43">
        <f>Forecast!H4</f>
        <v>2032</v>
      </c>
      <c r="I24" s="43">
        <f>Forecast!I4</f>
        <v>2033</v>
      </c>
      <c r="J24" s="43">
        <f>Forecast!J4</f>
        <v>2034</v>
      </c>
      <c r="K24" s="43">
        <f>Forecast!K4</f>
        <v>2035</v>
      </c>
    </row>
    <row r="25" spans="1:13">
      <c r="A25" s="33" t="s">
        <v>18</v>
      </c>
      <c r="B25" s="39">
        <f>Forecast!B10</f>
        <v>1335000</v>
      </c>
      <c r="C25" s="39">
        <f>Forecast!C10</f>
        <v>1360748.4999999998</v>
      </c>
      <c r="D25" s="39">
        <f>Forecast!D10</f>
        <v>1387263.8774999995</v>
      </c>
      <c r="E25" s="39">
        <f>Forecast!E10</f>
        <v>1414565.0744874994</v>
      </c>
      <c r="F25" s="39">
        <f>Forecast!F10</f>
        <v>1442671.6131271871</v>
      </c>
      <c r="G25" s="39">
        <f>Forecast!G10</f>
        <v>1471603.6119424265</v>
      </c>
      <c r="H25" s="39">
        <f>Forecast!H10</f>
        <v>1501381.8025034685</v>
      </c>
      <c r="I25" s="39">
        <f>Forecast!I10</f>
        <v>1532027.5466377733</v>
      </c>
      <c r="J25" s="39">
        <f>Forecast!J10</f>
        <v>1563562.8541783507</v>
      </c>
      <c r="K25" s="39">
        <f>Forecast!K10</f>
        <v>1596010.4012665208</v>
      </c>
    </row>
    <row r="26" spans="1:1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3">
      <c r="A28" s="37" t="s">
        <v>19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 spans="1:1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3">
      <c r="A30" s="33" t="s">
        <v>20</v>
      </c>
      <c r="B30" s="44">
        <f>Historical!D19</f>
        <v>1106950</v>
      </c>
      <c r="C30" s="33"/>
      <c r="D30" s="33"/>
      <c r="E30" s="33"/>
      <c r="F30" s="33"/>
      <c r="G30" s="33"/>
      <c r="H30" s="33"/>
      <c r="I30" s="33"/>
      <c r="J30" s="33"/>
      <c r="K30" s="33"/>
    </row>
    <row r="31" spans="1:13">
      <c r="A31" s="33" t="s">
        <v>21</v>
      </c>
      <c r="B31" s="44">
        <f>'Sources &amp; Uses'!B7</f>
        <v>18818150</v>
      </c>
      <c r="C31" s="33"/>
      <c r="D31" s="33"/>
      <c r="E31" s="33"/>
      <c r="F31" s="33"/>
      <c r="G31" s="33"/>
      <c r="H31" s="33"/>
      <c r="I31" s="33"/>
      <c r="J31" s="33"/>
      <c r="K31" s="33"/>
    </row>
    <row r="32" spans="1:13">
      <c r="A32" s="33" t="s">
        <v>22</v>
      </c>
      <c r="B32" s="45">
        <f>'5Y Underwriting'!B37</f>
        <v>3.5999276313515294E-2</v>
      </c>
      <c r="C32" s="33"/>
      <c r="D32" s="33"/>
      <c r="E32" s="33"/>
      <c r="F32" s="33"/>
      <c r="G32" s="33"/>
      <c r="H32" s="33"/>
      <c r="I32" s="33"/>
      <c r="J32" s="33"/>
      <c r="K32" s="33"/>
    </row>
    <row r="33" spans="1:13">
      <c r="A33" s="33" t="s">
        <v>23</v>
      </c>
      <c r="B33" s="45">
        <f>'5Y Underwriting'!B38</f>
        <v>5.7247364166454595E-2</v>
      </c>
      <c r="C33" s="33"/>
      <c r="D33" s="33"/>
      <c r="E33" s="33"/>
      <c r="F33" s="33"/>
      <c r="G33" s="33"/>
      <c r="H33" s="33"/>
      <c r="I33" s="33"/>
      <c r="J33" s="33"/>
      <c r="K33" s="33"/>
    </row>
    <row r="34" spans="1:13">
      <c r="A34" s="33" t="s">
        <v>24</v>
      </c>
      <c r="B34" s="46">
        <f>'5Y Underwriting'!B39</f>
        <v>1.1930997377804102</v>
      </c>
      <c r="C34" s="33"/>
      <c r="D34" s="33"/>
      <c r="E34" s="33"/>
      <c r="F34" s="33"/>
      <c r="G34" s="33"/>
      <c r="H34" s="33"/>
      <c r="I34" s="33"/>
      <c r="J34" s="33"/>
      <c r="K34" s="33"/>
    </row>
    <row r="35" spans="1:13">
      <c r="A35" s="33" t="s">
        <v>25</v>
      </c>
      <c r="B35" s="33" t="str">
        <f>'5Y Underwriting'!B43</f>
        <v>PARITY</v>
      </c>
      <c r="C35" s="33"/>
      <c r="D35" s="33"/>
      <c r="E35" s="33"/>
      <c r="F35" s="33"/>
      <c r="G35" s="33"/>
      <c r="H35" s="33"/>
      <c r="I35" s="33"/>
      <c r="J35" s="33"/>
      <c r="K35" s="33"/>
    </row>
    <row r="36" spans="1:13">
      <c r="A36" s="33" t="s">
        <v>26</v>
      </c>
      <c r="B36" s="44">
        <f>DCF!B12</f>
        <v>8817528.5017379634</v>
      </c>
      <c r="C36" s="33"/>
      <c r="D36" s="33"/>
      <c r="E36" s="33"/>
      <c r="F36" s="33"/>
      <c r="G36" s="33"/>
      <c r="H36" s="33"/>
      <c r="I36" s="33"/>
      <c r="J36" s="33"/>
      <c r="K36" s="33"/>
    </row>
    <row r="37" spans="1:13">
      <c r="A37" s="33"/>
      <c r="B37" s="44"/>
      <c r="C37" s="33"/>
      <c r="D37" s="33"/>
      <c r="E37" s="33"/>
      <c r="F37" s="33"/>
      <c r="G37" s="33"/>
      <c r="H37" s="33"/>
      <c r="I37" s="33"/>
      <c r="J37" s="33"/>
      <c r="K37" s="33"/>
    </row>
    <row r="38" spans="1:1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spans="1:13">
      <c r="A39" s="37" t="s">
        <v>27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3">
      <c r="A41" s="33" t="s">
        <v>28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3">
      <c r="A42" s="33" t="s">
        <v>29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3">
      <c r="A43" s="33" t="s">
        <v>30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 spans="1:1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 spans="1:1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spans="1:1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spans="1:1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 spans="1:1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spans="1:1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spans="1:1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spans="1:1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 spans="1:1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spans="1:1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 spans="1:1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spans="1:1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spans="1:1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spans="1:1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spans="1:1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spans="1:1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 spans="1:1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 spans="1:1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 spans="1:1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 spans="1:1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 spans="1:1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 spans="1:1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 spans="1:1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 spans="1:1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 spans="1:1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 spans="1:1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spans="1:1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 spans="1:1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spans="1:1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spans="1:1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 spans="1:1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"/>
  <sheetViews>
    <sheetView workbookViewId="0">
      <selection activeCell="C7" sqref="C7"/>
    </sheetView>
  </sheetViews>
  <sheetFormatPr defaultRowHeight="14"/>
  <cols>
    <col min="1" max="1" width="55" customWidth="1"/>
    <col min="2" max="2" width="29" customWidth="1"/>
    <col min="3" max="12" width="17" customWidth="1"/>
    <col min="13" max="15" width="16" customWidth="1"/>
  </cols>
  <sheetData>
    <row r="1" spans="1:13" s="34" customFormat="1" ht="21">
      <c r="A1" s="35" t="s">
        <v>31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7"/>
    </row>
    <row r="2" spans="1:13" s="34" customFormat="1">
      <c r="A2" s="47" t="s">
        <v>277</v>
      </c>
      <c r="B2" s="33"/>
      <c r="C2" s="33"/>
      <c r="D2" s="33"/>
      <c r="E2" s="33"/>
      <c r="F2" s="33"/>
      <c r="G2" s="33"/>
      <c r="H2" s="33"/>
    </row>
    <row r="3" spans="1:13" s="34" customFormat="1">
      <c r="A3" s="38"/>
      <c r="B3" s="33"/>
      <c r="C3" s="33"/>
      <c r="D3" s="33"/>
      <c r="E3" s="33"/>
      <c r="F3" s="33"/>
      <c r="G3" s="33"/>
      <c r="H3" s="33"/>
    </row>
    <row r="4" spans="1:13">
      <c r="A4" s="30" t="s">
        <v>32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>
      <c r="A5" s="4" t="s">
        <v>33</v>
      </c>
      <c r="B5" s="12">
        <v>2025</v>
      </c>
      <c r="C5" s="4"/>
      <c r="D5" s="4"/>
      <c r="E5" s="4"/>
      <c r="F5" s="4"/>
      <c r="G5" s="4"/>
      <c r="H5" s="4"/>
    </row>
    <row r="6" spans="1:13">
      <c r="A6" s="4" t="s">
        <v>34</v>
      </c>
      <c r="B6" s="12">
        <v>2026</v>
      </c>
      <c r="C6" s="4"/>
      <c r="D6" s="4"/>
      <c r="E6" s="4"/>
      <c r="F6" s="4"/>
      <c r="G6" s="4"/>
      <c r="H6" s="4"/>
    </row>
    <row r="7" spans="1:13">
      <c r="A7" s="4" t="s">
        <v>35</v>
      </c>
      <c r="B7" s="13">
        <v>2.5000000000000001E-2</v>
      </c>
      <c r="C7" s="4"/>
      <c r="D7" s="4"/>
      <c r="E7" s="4"/>
      <c r="F7" s="4"/>
      <c r="G7" s="4"/>
      <c r="H7" s="4"/>
    </row>
    <row r="8" spans="1:13">
      <c r="A8" s="4" t="s">
        <v>36</v>
      </c>
      <c r="B8" s="13">
        <v>0.01</v>
      </c>
      <c r="C8" s="4"/>
      <c r="D8" s="4"/>
      <c r="E8" s="4"/>
      <c r="F8" s="4"/>
      <c r="G8" s="4"/>
      <c r="H8" s="4"/>
    </row>
    <row r="9" spans="1:13">
      <c r="A9" s="4" t="s">
        <v>37</v>
      </c>
      <c r="B9" s="13">
        <v>-0.02</v>
      </c>
      <c r="C9" s="4"/>
      <c r="D9" s="4"/>
      <c r="E9" s="4"/>
      <c r="F9" s="4"/>
      <c r="G9" s="4"/>
      <c r="H9" s="4"/>
    </row>
    <row r="10" spans="1:13">
      <c r="A10" s="4" t="s">
        <v>38</v>
      </c>
      <c r="B10" s="13">
        <v>3.5000000000000003E-2</v>
      </c>
      <c r="C10" s="4"/>
      <c r="D10" s="4"/>
      <c r="E10" s="4"/>
      <c r="F10" s="4"/>
      <c r="G10" s="4"/>
      <c r="H10" s="4"/>
    </row>
    <row r="11" spans="1:13">
      <c r="A11" s="4" t="s">
        <v>39</v>
      </c>
      <c r="B11" s="13">
        <v>0</v>
      </c>
      <c r="C11" s="4"/>
      <c r="D11" s="4"/>
      <c r="E11" s="4"/>
      <c r="F11" s="4"/>
      <c r="G11" s="4"/>
      <c r="H11" s="4"/>
    </row>
    <row r="12" spans="1:13">
      <c r="A12" s="4" t="s">
        <v>40</v>
      </c>
      <c r="B12" s="13">
        <v>0.12</v>
      </c>
      <c r="C12" s="4"/>
      <c r="D12" s="4"/>
      <c r="E12" s="4"/>
      <c r="F12" s="4"/>
      <c r="G12" s="4"/>
      <c r="H12" s="4"/>
    </row>
    <row r="13" spans="1:13">
      <c r="A13" s="4" t="s">
        <v>41</v>
      </c>
      <c r="B13" s="13">
        <v>3.5000000000000003E-2</v>
      </c>
      <c r="C13" s="4"/>
      <c r="D13" s="4"/>
      <c r="E13" s="4"/>
      <c r="F13" s="4"/>
      <c r="G13" s="4"/>
      <c r="H13" s="4"/>
    </row>
    <row r="14" spans="1:13">
      <c r="A14" s="4" t="s">
        <v>42</v>
      </c>
      <c r="B14" s="13">
        <v>0.25</v>
      </c>
      <c r="C14" s="4"/>
      <c r="D14" s="4"/>
      <c r="E14" s="4"/>
      <c r="F14" s="4"/>
      <c r="G14" s="4"/>
      <c r="H14" s="4"/>
    </row>
    <row r="15" spans="1:13">
      <c r="A15" s="4" t="s">
        <v>43</v>
      </c>
      <c r="B15" s="13">
        <v>0.105</v>
      </c>
      <c r="C15" s="4"/>
      <c r="D15" s="4"/>
      <c r="E15" s="4"/>
      <c r="F15" s="4"/>
      <c r="G15" s="4"/>
      <c r="H15" s="4"/>
    </row>
    <row r="16" spans="1:13">
      <c r="A16" s="4" t="s">
        <v>44</v>
      </c>
      <c r="B16" s="13">
        <v>-1.4999999999999999E-2</v>
      </c>
      <c r="C16" s="4"/>
      <c r="D16" s="4"/>
      <c r="E16" s="4"/>
      <c r="F16" s="4"/>
      <c r="G16" s="4"/>
      <c r="H16" s="4"/>
    </row>
    <row r="17" spans="1:13">
      <c r="A17" s="4" t="s">
        <v>45</v>
      </c>
      <c r="B17" s="14">
        <v>12</v>
      </c>
      <c r="C17" s="4"/>
      <c r="D17" s="4"/>
      <c r="E17" s="4"/>
      <c r="F17" s="4"/>
      <c r="G17" s="4"/>
      <c r="H17" s="4"/>
    </row>
    <row r="18" spans="1:13">
      <c r="A18" s="4" t="s">
        <v>46</v>
      </c>
      <c r="B18" s="14">
        <v>11</v>
      </c>
      <c r="C18" s="4"/>
      <c r="D18" s="4"/>
      <c r="E18" s="4"/>
      <c r="F18" s="4"/>
      <c r="G18" s="4"/>
      <c r="H18" s="4"/>
    </row>
    <row r="19" spans="1:13">
      <c r="A19" s="4" t="s">
        <v>47</v>
      </c>
      <c r="B19" s="13">
        <v>0.6</v>
      </c>
      <c r="C19" s="4"/>
      <c r="D19" s="4"/>
      <c r="E19" s="4"/>
      <c r="F19" s="4"/>
      <c r="G19" s="4"/>
      <c r="H19" s="4"/>
    </row>
    <row r="20" spans="1:13">
      <c r="A20" s="4" t="s">
        <v>48</v>
      </c>
      <c r="B20" s="13">
        <v>7.4999999999999997E-2</v>
      </c>
      <c r="C20" s="4"/>
      <c r="D20" s="4"/>
      <c r="E20" s="4"/>
      <c r="F20" s="4"/>
      <c r="G20" s="4"/>
      <c r="H20" s="4"/>
    </row>
    <row r="21" spans="1:13">
      <c r="A21" s="4" t="s">
        <v>49</v>
      </c>
      <c r="B21" s="13">
        <v>0.05</v>
      </c>
      <c r="C21" s="4"/>
      <c r="D21" s="4"/>
      <c r="E21" s="4"/>
      <c r="F21" s="4"/>
      <c r="G21" s="4"/>
      <c r="H21" s="4"/>
    </row>
    <row r="22" spans="1:13">
      <c r="A22" s="4" t="s">
        <v>50</v>
      </c>
      <c r="B22" s="14">
        <v>10</v>
      </c>
      <c r="C22" s="4"/>
      <c r="D22" s="4"/>
      <c r="E22" s="4"/>
      <c r="F22" s="4"/>
      <c r="G22" s="4"/>
      <c r="H22" s="4"/>
    </row>
    <row r="23" spans="1:13">
      <c r="A23" s="4" t="s">
        <v>51</v>
      </c>
      <c r="B23" s="13">
        <v>0.02</v>
      </c>
      <c r="C23" s="4"/>
      <c r="D23" s="4"/>
      <c r="E23" s="4"/>
      <c r="F23" s="4"/>
      <c r="G23" s="4"/>
      <c r="H23" s="4"/>
    </row>
    <row r="24" spans="1:13">
      <c r="A24" s="4" t="s">
        <v>52</v>
      </c>
      <c r="B24" s="13">
        <v>1.4999999999999999E-2</v>
      </c>
      <c r="C24" s="4"/>
      <c r="D24" s="4"/>
      <c r="E24" s="4"/>
      <c r="F24" s="4"/>
      <c r="G24" s="4"/>
      <c r="H24" s="4"/>
    </row>
    <row r="25" spans="1:13">
      <c r="A25" s="4" t="s">
        <v>53</v>
      </c>
      <c r="B25" s="13">
        <v>-0.05</v>
      </c>
      <c r="C25" s="4"/>
      <c r="D25" s="4"/>
      <c r="E25" s="4"/>
      <c r="F25" s="4"/>
      <c r="G25" s="4"/>
      <c r="H25" s="4"/>
    </row>
    <row r="26" spans="1:13">
      <c r="A26" s="4" t="s">
        <v>54</v>
      </c>
      <c r="B26" s="13">
        <v>7.0000000000000007E-2</v>
      </c>
      <c r="C26" s="4"/>
      <c r="D26" s="4"/>
      <c r="E26" s="4"/>
      <c r="F26" s="4"/>
      <c r="G26" s="4"/>
      <c r="H26" s="4"/>
    </row>
    <row r="27" spans="1:13">
      <c r="A27" s="4" t="s">
        <v>55</v>
      </c>
      <c r="B27" s="13">
        <v>-0.2</v>
      </c>
      <c r="C27" s="4"/>
      <c r="D27" s="4"/>
      <c r="E27" s="4"/>
      <c r="F27" s="4"/>
      <c r="G27" s="4"/>
      <c r="H27" s="4"/>
    </row>
    <row r="28" spans="1:13">
      <c r="A28" s="4" t="s">
        <v>56</v>
      </c>
      <c r="B28" s="13">
        <v>0.2</v>
      </c>
      <c r="C28" s="4"/>
      <c r="D28" s="4"/>
      <c r="E28" s="4"/>
      <c r="F28" s="4"/>
      <c r="G28" s="4"/>
      <c r="H28" s="4"/>
    </row>
    <row r="29" spans="1:13">
      <c r="A29" s="4"/>
      <c r="B29" s="4"/>
      <c r="C29" s="4"/>
      <c r="D29" s="4"/>
      <c r="E29" s="4"/>
      <c r="F29" s="4"/>
      <c r="G29" s="4"/>
      <c r="H29" s="4"/>
    </row>
    <row r="30" spans="1:13" s="34" customFormat="1">
      <c r="A30" s="33"/>
      <c r="B30" s="33"/>
      <c r="C30" s="33"/>
      <c r="D30" s="33"/>
      <c r="E30" s="33"/>
      <c r="F30" s="33"/>
      <c r="G30" s="33"/>
      <c r="H30" s="33"/>
    </row>
    <row r="31" spans="1:13" s="34" customFormat="1">
      <c r="A31" s="37" t="s">
        <v>57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13" s="34" customForma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ht="28">
      <c r="A33" s="15" t="s">
        <v>58</v>
      </c>
      <c r="B33" s="15"/>
      <c r="C33" s="15"/>
      <c r="D33" s="15"/>
      <c r="E33" s="15"/>
      <c r="F33" s="15"/>
      <c r="G33" s="15"/>
      <c r="H33" s="15"/>
      <c r="I33" s="2"/>
      <c r="J33" s="2"/>
      <c r="K33" s="2"/>
      <c r="L33" s="2"/>
    </row>
    <row r="34" spans="1:13" ht="28">
      <c r="A34" s="15" t="s">
        <v>59</v>
      </c>
      <c r="B34" s="15"/>
      <c r="C34" s="15"/>
      <c r="D34" s="15"/>
      <c r="E34" s="15"/>
      <c r="F34" s="15"/>
      <c r="G34" s="15"/>
      <c r="H34" s="15"/>
      <c r="I34" s="2"/>
      <c r="J34" s="2"/>
      <c r="K34" s="2"/>
      <c r="L34" s="2"/>
    </row>
    <row r="35" spans="1:13" ht="28">
      <c r="A35" s="15" t="s">
        <v>60</v>
      </c>
      <c r="B35" s="15"/>
      <c r="C35" s="15"/>
      <c r="D35" s="15"/>
      <c r="E35" s="15"/>
      <c r="F35" s="15"/>
      <c r="G35" s="15"/>
      <c r="H35" s="15"/>
      <c r="I35" s="2"/>
      <c r="J35" s="2"/>
      <c r="K35" s="2"/>
      <c r="L35" s="2"/>
    </row>
    <row r="36" spans="1:13" ht="28">
      <c r="A36" s="15" t="s">
        <v>61</v>
      </c>
      <c r="B36" s="15"/>
      <c r="C36" s="15"/>
      <c r="D36" s="15"/>
      <c r="E36" s="15"/>
      <c r="F36" s="15"/>
      <c r="G36" s="15"/>
      <c r="H36" s="15"/>
      <c r="I36" s="2"/>
      <c r="J36" s="2"/>
      <c r="K36" s="2"/>
      <c r="L36" s="2"/>
    </row>
    <row r="37" spans="1:13">
      <c r="A37" s="15" t="s">
        <v>62</v>
      </c>
      <c r="B37" s="15"/>
      <c r="C37" s="15"/>
      <c r="D37" s="15"/>
      <c r="E37" s="15"/>
      <c r="F37" s="15"/>
      <c r="G37" s="15"/>
      <c r="H37" s="15"/>
      <c r="I37" s="2"/>
      <c r="J37" s="2"/>
      <c r="K37" s="2"/>
      <c r="L37" s="2"/>
    </row>
    <row r="38" spans="1:13">
      <c r="A38" s="4"/>
      <c r="B38" s="4"/>
      <c r="C38" s="4"/>
      <c r="D38" s="4"/>
      <c r="E38" s="4"/>
      <c r="F38" s="4"/>
      <c r="G38" s="4"/>
      <c r="H38" s="4"/>
    </row>
    <row r="39" spans="1:13" s="34" customFormat="1">
      <c r="A39" s="33"/>
      <c r="B39" s="33"/>
      <c r="C39" s="33"/>
      <c r="D39" s="33"/>
      <c r="E39" s="33"/>
      <c r="F39" s="33"/>
      <c r="G39" s="33"/>
      <c r="H39" s="33"/>
    </row>
    <row r="40" spans="1:13" s="34" customFormat="1">
      <c r="A40" s="37" t="s">
        <v>63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s="34" customFormat="1">
      <c r="A41" s="33"/>
      <c r="B41" s="33"/>
      <c r="C41" s="33"/>
      <c r="D41" s="33"/>
      <c r="E41" s="33"/>
      <c r="F41" s="33"/>
      <c r="G41" s="33"/>
      <c r="H41" s="33"/>
    </row>
    <row r="42" spans="1:13">
      <c r="A42" s="4" t="s">
        <v>64</v>
      </c>
      <c r="B42" s="16" t="s">
        <v>65</v>
      </c>
      <c r="C42" s="4"/>
      <c r="D42" s="4"/>
      <c r="E42" s="4"/>
      <c r="F42" s="4"/>
      <c r="G42" s="4"/>
      <c r="H42" s="4"/>
    </row>
    <row r="43" spans="1:13">
      <c r="A43" s="4" t="s">
        <v>66</v>
      </c>
      <c r="B43" s="17">
        <v>1</v>
      </c>
      <c r="C43" s="4"/>
      <c r="D43" s="4"/>
      <c r="E43" s="4"/>
      <c r="F43" s="4"/>
      <c r="G43" s="4"/>
      <c r="H43" s="4"/>
    </row>
    <row r="44" spans="1:13">
      <c r="A44" s="4" t="s">
        <v>67</v>
      </c>
      <c r="B44" s="18">
        <v>17</v>
      </c>
      <c r="C44" s="4"/>
      <c r="D44" s="4"/>
      <c r="E44" s="4"/>
      <c r="F44" s="4"/>
      <c r="G44" s="4"/>
      <c r="H44" s="4"/>
    </row>
    <row r="45" spans="1:13">
      <c r="A45" s="4" t="s">
        <v>68</v>
      </c>
      <c r="B45" s="18">
        <v>17</v>
      </c>
      <c r="C45" s="4"/>
      <c r="D45" s="4"/>
      <c r="E45" s="4"/>
      <c r="F45" s="4"/>
      <c r="G45" s="4"/>
      <c r="H45" s="4"/>
    </row>
    <row r="46" spans="1:13">
      <c r="A46" s="4" t="s">
        <v>69</v>
      </c>
      <c r="B46" s="17">
        <v>0.65</v>
      </c>
      <c r="C46" s="4"/>
      <c r="D46" s="4"/>
      <c r="E46" s="4"/>
      <c r="F46" s="4"/>
      <c r="G46" s="4"/>
      <c r="H46" s="4"/>
    </row>
    <row r="47" spans="1:13">
      <c r="A47" s="4" t="s">
        <v>70</v>
      </c>
      <c r="B47" s="17">
        <v>7.0000000000000007E-2</v>
      </c>
      <c r="C47" s="4"/>
      <c r="D47" s="4"/>
      <c r="E47" s="4"/>
      <c r="F47" s="4"/>
      <c r="G47" s="4"/>
      <c r="H47" s="4"/>
    </row>
    <row r="48" spans="1:13">
      <c r="A48" s="4" t="s">
        <v>71</v>
      </c>
      <c r="B48" s="17">
        <v>1.4999999999999999E-2</v>
      </c>
      <c r="C48" s="4"/>
      <c r="D48" s="4"/>
      <c r="E48" s="4"/>
      <c r="F48" s="4"/>
      <c r="G48" s="4"/>
      <c r="H48" s="4"/>
    </row>
    <row r="49" spans="1:8">
      <c r="A49" s="4" t="s">
        <v>72</v>
      </c>
      <c r="B49" s="17">
        <v>0.02</v>
      </c>
      <c r="C49" s="4"/>
      <c r="D49" s="4"/>
      <c r="E49" s="4"/>
      <c r="F49" s="4"/>
      <c r="G49" s="4"/>
      <c r="H49" s="4"/>
    </row>
    <row r="50" spans="1:8">
      <c r="A50" s="4" t="s">
        <v>73</v>
      </c>
      <c r="B50" s="17">
        <v>0</v>
      </c>
      <c r="C50" s="4"/>
      <c r="D50" s="4"/>
      <c r="E50" s="4"/>
      <c r="F50" s="4"/>
      <c r="G50" s="4"/>
      <c r="H50" s="4"/>
    </row>
    <row r="51" spans="1:8">
      <c r="A51" s="4" t="s">
        <v>74</v>
      </c>
      <c r="B51" s="19">
        <v>5</v>
      </c>
      <c r="C51" s="4"/>
      <c r="D51" s="4"/>
      <c r="E51" s="4"/>
      <c r="F51" s="4"/>
      <c r="G51" s="4"/>
      <c r="H51" s="4"/>
    </row>
    <row r="52" spans="1:8">
      <c r="A52" s="4" t="s">
        <v>75</v>
      </c>
      <c r="B52" s="17">
        <v>0.25</v>
      </c>
      <c r="C52" s="4"/>
      <c r="D52" s="4"/>
      <c r="E52" s="4"/>
      <c r="F52" s="4"/>
      <c r="G52" s="4"/>
      <c r="H52" s="4"/>
    </row>
    <row r="53" spans="1:8">
      <c r="A53" s="4" t="s">
        <v>76</v>
      </c>
      <c r="B53" s="16" t="s">
        <v>77</v>
      </c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3"/>
  <sheetViews>
    <sheetView workbookViewId="0">
      <selection activeCell="B7" sqref="B7"/>
    </sheetView>
  </sheetViews>
  <sheetFormatPr defaultRowHeight="14"/>
  <cols>
    <col min="1" max="1" width="39" customWidth="1"/>
    <col min="2" max="12" width="17" customWidth="1"/>
    <col min="13" max="15" width="16" customWidth="1"/>
  </cols>
  <sheetData>
    <row r="1" spans="1:13" s="34" customFormat="1" ht="21">
      <c r="A1" s="35" t="s">
        <v>78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7"/>
    </row>
    <row r="2" spans="1:13" s="34" customFormat="1">
      <c r="A2" s="38"/>
      <c r="B2" s="33"/>
      <c r="C2" s="33"/>
      <c r="D2" s="33"/>
      <c r="E2" s="33"/>
      <c r="F2" s="33"/>
      <c r="G2" s="33"/>
      <c r="H2" s="33"/>
    </row>
    <row r="3" spans="1:13">
      <c r="A3" s="30" t="s">
        <v>79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>
      <c r="A4" s="4"/>
      <c r="B4" s="4">
        <v>2023</v>
      </c>
      <c r="C4" s="4">
        <v>2024</v>
      </c>
      <c r="D4" s="4">
        <v>2025</v>
      </c>
      <c r="E4" s="4"/>
      <c r="F4" s="4"/>
      <c r="G4" s="4"/>
      <c r="H4" s="4"/>
    </row>
    <row r="5" spans="1:13">
      <c r="A5" s="4" t="s">
        <v>80</v>
      </c>
      <c r="B5" s="20">
        <v>650000</v>
      </c>
      <c r="C5" s="20">
        <v>720000</v>
      </c>
      <c r="D5" s="20">
        <v>780000</v>
      </c>
      <c r="E5" s="4"/>
      <c r="F5" s="4"/>
      <c r="G5" s="4"/>
      <c r="H5" s="4"/>
    </row>
    <row r="6" spans="1:13">
      <c r="A6" s="4" t="s">
        <v>81</v>
      </c>
      <c r="B6" s="20">
        <v>180000</v>
      </c>
      <c r="C6" s="20">
        <v>195000</v>
      </c>
      <c r="D6" s="20">
        <v>210000</v>
      </c>
      <c r="E6" s="4"/>
      <c r="F6" s="4"/>
      <c r="G6" s="4"/>
      <c r="H6" s="4"/>
    </row>
    <row r="7" spans="1:13">
      <c r="A7" s="4" t="s">
        <v>82</v>
      </c>
      <c r="B7" s="20">
        <v>120000</v>
      </c>
      <c r="C7" s="20">
        <v>115000</v>
      </c>
      <c r="D7" s="20">
        <v>110000</v>
      </c>
      <c r="E7" s="4"/>
      <c r="F7" s="4"/>
      <c r="G7" s="4"/>
      <c r="H7" s="4"/>
    </row>
    <row r="8" spans="1:13">
      <c r="A8" s="4" t="s">
        <v>83</v>
      </c>
      <c r="B8" s="20">
        <v>90000</v>
      </c>
      <c r="C8" s="20">
        <v>140000</v>
      </c>
      <c r="D8" s="20">
        <v>160000</v>
      </c>
      <c r="E8" s="4"/>
      <c r="F8" s="4"/>
      <c r="G8" s="4"/>
      <c r="H8" s="4"/>
    </row>
    <row r="9" spans="1:13">
      <c r="A9" s="4" t="s">
        <v>84</v>
      </c>
      <c r="B9" s="20">
        <v>60000</v>
      </c>
      <c r="C9" s="20">
        <v>55000</v>
      </c>
      <c r="D9" s="20">
        <v>50000</v>
      </c>
      <c r="E9" s="4"/>
      <c r="F9" s="4"/>
      <c r="G9" s="4"/>
      <c r="H9" s="4"/>
    </row>
    <row r="10" spans="1:13">
      <c r="A10" s="21" t="s">
        <v>85</v>
      </c>
      <c r="B10" s="22">
        <f>SUM(B5:B9)</f>
        <v>1100000</v>
      </c>
      <c r="C10" s="22">
        <f>SUM(C5:C9)</f>
        <v>1225000</v>
      </c>
      <c r="D10" s="22">
        <f>SUM(D5:D9)</f>
        <v>1310000</v>
      </c>
      <c r="E10" s="21"/>
      <c r="F10" s="21"/>
      <c r="G10" s="21"/>
      <c r="H10" s="21"/>
      <c r="I10" s="3"/>
      <c r="J10" s="3"/>
      <c r="K10" s="3"/>
    </row>
    <row r="11" spans="1:13">
      <c r="A11" s="4" t="s">
        <v>86</v>
      </c>
      <c r="B11" s="10"/>
      <c r="C11" s="23">
        <f>IFERROR(C10/B10-1,0)</f>
        <v>0.11363636363636354</v>
      </c>
      <c r="D11" s="23">
        <f>IFERROR(D10/C10-1,0)</f>
        <v>6.938775510204076E-2</v>
      </c>
      <c r="E11" s="4"/>
      <c r="F11" s="4"/>
      <c r="G11" s="4"/>
      <c r="H11" s="4"/>
    </row>
    <row r="12" spans="1:13">
      <c r="A12" s="4"/>
      <c r="B12" s="9"/>
      <c r="C12" s="9"/>
      <c r="D12" s="9"/>
      <c r="E12" s="4"/>
      <c r="F12" s="4"/>
      <c r="G12" s="4"/>
      <c r="H12" s="4"/>
    </row>
    <row r="13" spans="1:13">
      <c r="A13" s="21" t="s">
        <v>87</v>
      </c>
      <c r="B13" s="22">
        <f>-B10*Assumptions!$B$12</f>
        <v>-132000</v>
      </c>
      <c r="C13" s="22">
        <f>-C10*Assumptions!$B$12</f>
        <v>-147000</v>
      </c>
      <c r="D13" s="22">
        <f>-D10*Assumptions!$B$12</f>
        <v>-157200</v>
      </c>
      <c r="E13" s="21"/>
      <c r="F13" s="21"/>
      <c r="G13" s="21"/>
      <c r="H13" s="21"/>
      <c r="I13" s="3"/>
      <c r="J13" s="3"/>
      <c r="K13" s="3"/>
    </row>
    <row r="14" spans="1:13">
      <c r="A14" s="4" t="s">
        <v>88</v>
      </c>
      <c r="B14" s="24">
        <f>-B10*Assumptions!$B$13</f>
        <v>-38500.000000000007</v>
      </c>
      <c r="C14" s="24">
        <f>-C10*Assumptions!$B$13</f>
        <v>-42875.000000000007</v>
      </c>
      <c r="D14" s="24">
        <f>-D10*Assumptions!$B$13</f>
        <v>-45850.000000000007</v>
      </c>
      <c r="E14" s="4"/>
      <c r="F14" s="4"/>
      <c r="G14" s="4"/>
      <c r="H14" s="4"/>
    </row>
    <row r="15" spans="1:13">
      <c r="A15" s="21" t="s">
        <v>89</v>
      </c>
      <c r="B15" s="22">
        <f>SUM(B10,B13:B14)</f>
        <v>929500</v>
      </c>
      <c r="C15" s="22">
        <f>SUM(C10,C13:C14)</f>
        <v>1035125</v>
      </c>
      <c r="D15" s="22">
        <f>SUM(D10,D13:D14)</f>
        <v>1106950</v>
      </c>
      <c r="E15" s="21"/>
      <c r="F15" s="21"/>
      <c r="G15" s="21"/>
      <c r="H15" s="21"/>
      <c r="I15" s="3"/>
      <c r="J15" s="3"/>
      <c r="K15" s="3"/>
    </row>
    <row r="16" spans="1:13">
      <c r="A16" s="4" t="s">
        <v>90</v>
      </c>
      <c r="B16" s="24">
        <f>-MAX(0,B15)*Assumptions!$B$14</f>
        <v>-232375</v>
      </c>
      <c r="C16" s="24">
        <f>-MAX(0,C15)*Assumptions!$B$14</f>
        <v>-258781.25</v>
      </c>
      <c r="D16" s="24">
        <f>-MAX(0,D15)*Assumptions!$B$14</f>
        <v>-276737.5</v>
      </c>
      <c r="E16" s="4"/>
      <c r="F16" s="4"/>
      <c r="G16" s="4"/>
      <c r="H16" s="4"/>
    </row>
    <row r="17" spans="1:11">
      <c r="A17" s="21" t="s">
        <v>91</v>
      </c>
      <c r="B17" s="22">
        <f>SUM(B15:B16)</f>
        <v>697125</v>
      </c>
      <c r="C17" s="22">
        <f>SUM(C15:C16)</f>
        <v>776343.75</v>
      </c>
      <c r="D17" s="22">
        <f>SUM(D15:D16)</f>
        <v>830212.5</v>
      </c>
      <c r="E17" s="21"/>
      <c r="F17" s="21"/>
      <c r="G17" s="21"/>
      <c r="H17" s="21"/>
      <c r="I17" s="3"/>
      <c r="J17" s="3"/>
      <c r="K17" s="3"/>
    </row>
    <row r="18" spans="1:11">
      <c r="A18" s="4"/>
      <c r="B18" s="4"/>
      <c r="C18" s="4"/>
      <c r="D18" s="4"/>
      <c r="E18" s="4"/>
      <c r="F18" s="4"/>
      <c r="G18" s="4"/>
      <c r="H18" s="4"/>
    </row>
    <row r="19" spans="1:11">
      <c r="A19" s="25" t="s">
        <v>92</v>
      </c>
      <c r="B19" s="26">
        <f>B15</f>
        <v>929500</v>
      </c>
      <c r="C19" s="26">
        <f>C15</f>
        <v>1035125</v>
      </c>
      <c r="D19" s="26">
        <f>D15</f>
        <v>1106950</v>
      </c>
      <c r="E19" s="4"/>
      <c r="F19" s="4"/>
      <c r="G19" s="4"/>
      <c r="H19" s="4"/>
    </row>
    <row r="20" spans="1:11">
      <c r="A20" s="4"/>
      <c r="B20" s="4"/>
      <c r="C20" s="4"/>
      <c r="D20" s="4"/>
      <c r="E20" s="4"/>
      <c r="F20" s="4"/>
      <c r="G20" s="4"/>
      <c r="H20" s="4"/>
    </row>
    <row r="21" spans="1:11">
      <c r="A21" s="4"/>
      <c r="B21" s="4"/>
      <c r="C21" s="4"/>
      <c r="D21" s="4"/>
      <c r="E21" s="4"/>
      <c r="F21" s="4"/>
      <c r="G21" s="4"/>
      <c r="H21" s="4"/>
    </row>
    <row r="22" spans="1:11">
      <c r="A22" s="4"/>
      <c r="B22" s="4"/>
      <c r="C22" s="4"/>
      <c r="D22" s="4"/>
      <c r="E22" s="4"/>
      <c r="F22" s="4"/>
      <c r="G22" s="4"/>
      <c r="H22" s="4"/>
    </row>
    <row r="23" spans="1:11">
      <c r="A23" s="4"/>
      <c r="B23" s="4"/>
      <c r="C23" s="4"/>
      <c r="D23" s="4"/>
      <c r="E23" s="4"/>
      <c r="F23" s="4"/>
      <c r="G23" s="4"/>
      <c r="H23" s="4"/>
    </row>
    <row r="24" spans="1:11">
      <c r="A24" s="4"/>
      <c r="B24" s="4"/>
      <c r="C24" s="4"/>
      <c r="D24" s="4"/>
      <c r="E24" s="4"/>
      <c r="F24" s="4"/>
      <c r="G24" s="4"/>
      <c r="H24" s="4"/>
    </row>
    <row r="25" spans="1:11">
      <c r="A25" s="4"/>
      <c r="B25" s="4"/>
      <c r="C25" s="4"/>
      <c r="D25" s="4"/>
      <c r="E25" s="4"/>
      <c r="F25" s="4"/>
      <c r="G25" s="4"/>
      <c r="H25" s="4"/>
    </row>
    <row r="26" spans="1:11">
      <c r="A26" s="4"/>
      <c r="B26" s="4"/>
      <c r="C26" s="4"/>
      <c r="D26" s="4"/>
      <c r="E26" s="4"/>
      <c r="F26" s="4"/>
      <c r="G26" s="4"/>
      <c r="H26" s="4"/>
    </row>
    <row r="27" spans="1:11">
      <c r="A27" s="4"/>
      <c r="B27" s="4"/>
      <c r="C27" s="4"/>
      <c r="D27" s="4"/>
      <c r="E27" s="4"/>
      <c r="F27" s="4"/>
      <c r="G27" s="4"/>
      <c r="H27" s="4"/>
    </row>
    <row r="28" spans="1:11">
      <c r="A28" s="4"/>
      <c r="B28" s="4"/>
      <c r="C28" s="4"/>
      <c r="D28" s="4"/>
      <c r="E28" s="4"/>
      <c r="F28" s="4"/>
      <c r="G28" s="4"/>
      <c r="H28" s="4"/>
    </row>
    <row r="29" spans="1:11">
      <c r="A29" s="4"/>
      <c r="B29" s="4"/>
      <c r="C29" s="4"/>
      <c r="D29" s="4"/>
      <c r="E29" s="4"/>
      <c r="F29" s="4"/>
      <c r="G29" s="4"/>
      <c r="H29" s="4"/>
    </row>
    <row r="30" spans="1:11">
      <c r="A30" s="4"/>
      <c r="B30" s="4"/>
      <c r="C30" s="4"/>
      <c r="D30" s="4"/>
      <c r="E30" s="4"/>
      <c r="F30" s="4"/>
      <c r="G30" s="4"/>
      <c r="H30" s="4"/>
    </row>
    <row r="31" spans="1:11">
      <c r="A31" s="4"/>
      <c r="B31" s="4"/>
      <c r="C31" s="4"/>
      <c r="D31" s="4"/>
      <c r="E31" s="4"/>
      <c r="F31" s="4"/>
      <c r="G31" s="4"/>
      <c r="H31" s="4"/>
    </row>
    <row r="32" spans="1:11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topLeftCell="A2" workbookViewId="0">
      <selection activeCell="A10" sqref="A10"/>
    </sheetView>
  </sheetViews>
  <sheetFormatPr defaultRowHeight="14"/>
  <cols>
    <col min="1" max="1" width="39" customWidth="1"/>
    <col min="2" max="12" width="17" customWidth="1"/>
    <col min="13" max="15" width="16" customWidth="1"/>
  </cols>
  <sheetData>
    <row r="1" spans="1:13" s="34" customFormat="1" ht="17.5">
      <c r="A1" s="35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7"/>
      <c r="M1" s="37"/>
    </row>
    <row r="2" spans="1:13" s="34" customFormat="1" ht="17.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7"/>
      <c r="M2" s="37"/>
    </row>
    <row r="3" spans="1:13" s="34" customFormat="1">
      <c r="A3" s="37" t="s">
        <v>94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34" customFormat="1">
      <c r="A4" s="33"/>
      <c r="B4" s="43">
        <f>Assumptions!$B$6+0</f>
        <v>2026</v>
      </c>
      <c r="C4" s="43">
        <f>Assumptions!$B$6+1</f>
        <v>2027</v>
      </c>
      <c r="D4" s="43">
        <f>Assumptions!$B$6+2</f>
        <v>2028</v>
      </c>
      <c r="E4" s="43">
        <f>Assumptions!$B$6+3</f>
        <v>2029</v>
      </c>
      <c r="F4" s="43">
        <f>Assumptions!$B$6+4</f>
        <v>2030</v>
      </c>
      <c r="G4" s="43">
        <f>Assumptions!$B$6+5</f>
        <v>2031</v>
      </c>
      <c r="H4" s="43">
        <f>Assumptions!$B$6+6</f>
        <v>2032</v>
      </c>
      <c r="I4" s="43">
        <f>Assumptions!$B$6+7</f>
        <v>2033</v>
      </c>
      <c r="J4" s="43">
        <f>Assumptions!$B$6+8</f>
        <v>2034</v>
      </c>
      <c r="K4" s="43">
        <f>Assumptions!$B$6+9</f>
        <v>2035</v>
      </c>
    </row>
    <row r="5" spans="1:13" s="34" customFormat="1">
      <c r="A5" s="33" t="s">
        <v>80</v>
      </c>
      <c r="B5" s="39">
        <f>Historical!$D$5*(1+Assumptions!$B$7)</f>
        <v>799499.99999999988</v>
      </c>
      <c r="C5" s="48">
        <f>B5*(1+Assumptions!$B$7)</f>
        <v>819487.49999999977</v>
      </c>
      <c r="D5" s="48">
        <f>C5*(1+Assumptions!$B$7)</f>
        <v>839974.68749999965</v>
      </c>
      <c r="E5" s="48">
        <f>D5*(1+Assumptions!$B$7)</f>
        <v>860974.05468749953</v>
      </c>
      <c r="F5" s="48">
        <f>E5*(1+Assumptions!$B$7)</f>
        <v>882498.40605468699</v>
      </c>
      <c r="G5" s="48">
        <f>F5*(1+Assumptions!$B$7)</f>
        <v>904560.86620605411</v>
      </c>
      <c r="H5" s="48">
        <f>G5*(1+Assumptions!$B$7)</f>
        <v>927174.88786120538</v>
      </c>
      <c r="I5" s="48">
        <f>H5*(1+Assumptions!$B$7)</f>
        <v>950354.26005773549</v>
      </c>
      <c r="J5" s="48">
        <f>I5*(1+Assumptions!$B$7)</f>
        <v>974113.1165591788</v>
      </c>
      <c r="K5" s="48">
        <f>J5*(1+Assumptions!$B$7)</f>
        <v>998465.94447315822</v>
      </c>
    </row>
    <row r="6" spans="1:13">
      <c r="A6" s="4" t="s">
        <v>81</v>
      </c>
      <c r="B6" s="5">
        <f>Historical!$D$6*(1+Assumptions!$B$8)</f>
        <v>212100</v>
      </c>
      <c r="C6" s="24">
        <f>B6*(1+Assumptions!$B$8)</f>
        <v>214221</v>
      </c>
      <c r="D6" s="24">
        <f>C6*(1+Assumptions!$B$8)</f>
        <v>216363.21</v>
      </c>
      <c r="E6" s="24">
        <f>D6*(1+Assumptions!$B$8)</f>
        <v>218526.84209999998</v>
      </c>
      <c r="F6" s="24">
        <f>E6*(1+Assumptions!$B$8)</f>
        <v>220712.110521</v>
      </c>
      <c r="G6" s="24">
        <f>F6*(1+Assumptions!$B$8)</f>
        <v>222919.23162621001</v>
      </c>
      <c r="H6" s="24">
        <f>G6*(1+Assumptions!$B$8)</f>
        <v>225148.42394247212</v>
      </c>
      <c r="I6" s="24">
        <f>H6*(1+Assumptions!$B$8)</f>
        <v>227399.90818189684</v>
      </c>
      <c r="J6" s="24">
        <f>I6*(1+Assumptions!$B$8)</f>
        <v>229673.90726371581</v>
      </c>
      <c r="K6" s="24">
        <f>J6*(1+Assumptions!$B$8)</f>
        <v>231970.64633635298</v>
      </c>
    </row>
    <row r="7" spans="1:13">
      <c r="A7" s="4" t="s">
        <v>82</v>
      </c>
      <c r="B7" s="5">
        <f>Historical!$D$7*(1+Assumptions!$B$9)</f>
        <v>107800</v>
      </c>
      <c r="C7" s="24">
        <f>B7*(1+Assumptions!$B$9)</f>
        <v>105644</v>
      </c>
      <c r="D7" s="24">
        <f>C7*(1+Assumptions!$B$9)</f>
        <v>103531.12</v>
      </c>
      <c r="E7" s="24">
        <f>D7*(1+Assumptions!$B$9)</f>
        <v>101460.49759999999</v>
      </c>
      <c r="F7" s="24">
        <f>E7*(1+Assumptions!$B$9)</f>
        <v>99431.287647999983</v>
      </c>
      <c r="G7" s="24">
        <f>F7*(1+Assumptions!$B$9)</f>
        <v>97442.661895039986</v>
      </c>
      <c r="H7" s="24">
        <f>G7*(1+Assumptions!$B$9)</f>
        <v>95493.80865713919</v>
      </c>
      <c r="I7" s="24">
        <f>H7*(1+Assumptions!$B$9)</f>
        <v>93583.93248399641</v>
      </c>
      <c r="J7" s="24">
        <f>I7*(1+Assumptions!$B$9)</f>
        <v>91712.253834316478</v>
      </c>
      <c r="K7" s="24">
        <f>J7*(1+Assumptions!$B$9)</f>
        <v>89878.008757630145</v>
      </c>
    </row>
    <row r="8" spans="1:13">
      <c r="A8" s="4" t="s">
        <v>83</v>
      </c>
      <c r="B8" s="5">
        <f>Historical!$D$8*(1+Assumptions!$B$10)</f>
        <v>165600</v>
      </c>
      <c r="C8" s="24">
        <f>B8*(1+Assumptions!$B$10)</f>
        <v>171396</v>
      </c>
      <c r="D8" s="24">
        <f>C8*(1+Assumptions!$B$10)</f>
        <v>177394.86</v>
      </c>
      <c r="E8" s="24">
        <f>D8*(1+Assumptions!$B$10)</f>
        <v>183603.68009999997</v>
      </c>
      <c r="F8" s="24">
        <f>E8*(1+Assumptions!$B$10)</f>
        <v>190029.80890349994</v>
      </c>
      <c r="G8" s="24">
        <f>F8*(1+Assumptions!$B$10)</f>
        <v>196680.85221512243</v>
      </c>
      <c r="H8" s="24">
        <f>G8*(1+Assumptions!$B$10)</f>
        <v>203564.68204265169</v>
      </c>
      <c r="I8" s="24">
        <f>H8*(1+Assumptions!$B$10)</f>
        <v>210689.44591414448</v>
      </c>
      <c r="J8" s="24">
        <f>I8*(1+Assumptions!$B$10)</f>
        <v>218063.57652113953</v>
      </c>
      <c r="K8" s="24">
        <f>J8*(1+Assumptions!$B$10)</f>
        <v>225695.8016993794</v>
      </c>
    </row>
    <row r="9" spans="1:13">
      <c r="A9" s="4" t="s">
        <v>84</v>
      </c>
      <c r="B9" s="5">
        <f>Historical!$D$9*(1+Assumptions!$B$11)</f>
        <v>50000</v>
      </c>
      <c r="C9" s="24">
        <f>B9*(1+Assumptions!$B$11)</f>
        <v>50000</v>
      </c>
      <c r="D9" s="24">
        <f>C9*(1+Assumptions!$B$11)</f>
        <v>50000</v>
      </c>
      <c r="E9" s="24">
        <f>D9*(1+Assumptions!$B$11)</f>
        <v>50000</v>
      </c>
      <c r="F9" s="24">
        <f>E9*(1+Assumptions!$B$11)</f>
        <v>50000</v>
      </c>
      <c r="G9" s="24">
        <f>F9*(1+Assumptions!$B$11)</f>
        <v>50000</v>
      </c>
      <c r="H9" s="24">
        <f>G9*(1+Assumptions!$B$11)</f>
        <v>50000</v>
      </c>
      <c r="I9" s="24">
        <f>H9*(1+Assumptions!$B$11)</f>
        <v>50000</v>
      </c>
      <c r="J9" s="24">
        <f>I9*(1+Assumptions!$B$11)</f>
        <v>50000</v>
      </c>
      <c r="K9" s="24">
        <f>J9*(1+Assumptions!$B$11)</f>
        <v>50000</v>
      </c>
    </row>
    <row r="10" spans="1:13">
      <c r="A10" s="21" t="s">
        <v>85</v>
      </c>
      <c r="B10" s="22">
        <f t="shared" ref="B10:K10" si="0">SUM(B5:B9)</f>
        <v>1335000</v>
      </c>
      <c r="C10" s="22">
        <f t="shared" si="0"/>
        <v>1360748.4999999998</v>
      </c>
      <c r="D10" s="22">
        <f t="shared" si="0"/>
        <v>1387263.8774999995</v>
      </c>
      <c r="E10" s="22">
        <f t="shared" si="0"/>
        <v>1414565.0744874994</v>
      </c>
      <c r="F10" s="22">
        <f t="shared" si="0"/>
        <v>1442671.6131271871</v>
      </c>
      <c r="G10" s="22">
        <f t="shared" si="0"/>
        <v>1471603.6119424265</v>
      </c>
      <c r="H10" s="22">
        <f t="shared" si="0"/>
        <v>1501381.8025034685</v>
      </c>
      <c r="I10" s="22">
        <f t="shared" si="0"/>
        <v>1532027.5466377733</v>
      </c>
      <c r="J10" s="22">
        <f t="shared" si="0"/>
        <v>1563562.8541783507</v>
      </c>
      <c r="K10" s="22">
        <f t="shared" si="0"/>
        <v>1596010.4012665208</v>
      </c>
    </row>
    <row r="11" spans="1:13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3">
      <c r="A12" s="4" t="s">
        <v>95</v>
      </c>
      <c r="B12" s="24">
        <f>-B10*Assumptions!$B$12</f>
        <v>-160200</v>
      </c>
      <c r="C12" s="24">
        <f>-C10*Assumptions!$B$12</f>
        <v>-163289.81999999998</v>
      </c>
      <c r="D12" s="24">
        <f>-D10*Assumptions!$B$12</f>
        <v>-166471.66529999994</v>
      </c>
      <c r="E12" s="24">
        <f>-E10*Assumptions!$B$12</f>
        <v>-169747.80893849992</v>
      </c>
      <c r="F12" s="24">
        <f>-F10*Assumptions!$B$12</f>
        <v>-173120.59357526244</v>
      </c>
      <c r="G12" s="24">
        <f>-G10*Assumptions!$B$12</f>
        <v>-176592.43343309118</v>
      </c>
      <c r="H12" s="24">
        <f>-H10*Assumptions!$B$12</f>
        <v>-180165.81630041622</v>
      </c>
      <c r="I12" s="24">
        <f>-I10*Assumptions!$B$12</f>
        <v>-183843.30559653279</v>
      </c>
      <c r="J12" s="24">
        <f>-J10*Assumptions!$B$12</f>
        <v>-187627.54250140206</v>
      </c>
      <c r="K12" s="24">
        <f>-K10*Assumptions!$B$12</f>
        <v>-191521.24815198249</v>
      </c>
    </row>
    <row r="13" spans="1:13">
      <c r="A13" s="4" t="s">
        <v>96</v>
      </c>
      <c r="B13" s="24">
        <f>-B10*Assumptions!$B$13</f>
        <v>-46725.000000000007</v>
      </c>
      <c r="C13" s="24">
        <f>-C10*Assumptions!$B$13</f>
        <v>-47626.197499999995</v>
      </c>
      <c r="D13" s="24">
        <f>-D10*Assumptions!$B$13</f>
        <v>-48554.235712499983</v>
      </c>
      <c r="E13" s="24">
        <f>-E10*Assumptions!$B$13</f>
        <v>-49509.777607062482</v>
      </c>
      <c r="F13" s="24">
        <f>-F10*Assumptions!$B$13</f>
        <v>-50493.506459451557</v>
      </c>
      <c r="G13" s="24">
        <f>-G10*Assumptions!$B$13</f>
        <v>-51506.126417984931</v>
      </c>
      <c r="H13" s="24">
        <f>-H10*Assumptions!$B$13</f>
        <v>-52548.363087621401</v>
      </c>
      <c r="I13" s="24">
        <f>-I10*Assumptions!$B$13</f>
        <v>-53620.964132322071</v>
      </c>
      <c r="J13" s="24">
        <f>-J10*Assumptions!$B$13</f>
        <v>-54724.69989624228</v>
      </c>
      <c r="K13" s="24">
        <f>-K10*Assumptions!$B$13</f>
        <v>-55860.364044328235</v>
      </c>
    </row>
    <row r="14" spans="1:13">
      <c r="A14" s="21" t="s">
        <v>97</v>
      </c>
      <c r="B14" s="22">
        <f t="shared" ref="B14:K14" si="1">SUM(B10:B13)</f>
        <v>1128075</v>
      </c>
      <c r="C14" s="22">
        <f t="shared" si="1"/>
        <v>1149832.4824999997</v>
      </c>
      <c r="D14" s="22">
        <f t="shared" si="1"/>
        <v>1172237.9764874994</v>
      </c>
      <c r="E14" s="22">
        <f t="shared" si="1"/>
        <v>1195307.4879419371</v>
      </c>
      <c r="F14" s="22">
        <f t="shared" si="1"/>
        <v>1219057.5130924731</v>
      </c>
      <c r="G14" s="22">
        <f t="shared" si="1"/>
        <v>1243505.0520913503</v>
      </c>
      <c r="H14" s="22">
        <f t="shared" si="1"/>
        <v>1268667.6231154311</v>
      </c>
      <c r="I14" s="22">
        <f t="shared" si="1"/>
        <v>1294563.2769089185</v>
      </c>
      <c r="J14" s="22">
        <f t="shared" si="1"/>
        <v>1321210.6117807063</v>
      </c>
      <c r="K14" s="22">
        <f t="shared" si="1"/>
        <v>1348628.7890702102</v>
      </c>
    </row>
    <row r="15" spans="1:13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3">
      <c r="A16" s="4" t="s">
        <v>90</v>
      </c>
      <c r="B16" s="24">
        <f>-MAX(0,B14)*Assumptions!$B$14</f>
        <v>-282018.75</v>
      </c>
      <c r="C16" s="24">
        <f>-MAX(0,C14)*Assumptions!$B$14</f>
        <v>-287458.12062499992</v>
      </c>
      <c r="D16" s="24">
        <f>-MAX(0,D14)*Assumptions!$B$14</f>
        <v>-293059.49412187486</v>
      </c>
      <c r="E16" s="24">
        <f>-MAX(0,E14)*Assumptions!$B$14</f>
        <v>-298826.87198548426</v>
      </c>
      <c r="F16" s="24">
        <f>-MAX(0,F14)*Assumptions!$B$14</f>
        <v>-304764.37827311829</v>
      </c>
      <c r="G16" s="24">
        <f>-MAX(0,G14)*Assumptions!$B$14</f>
        <v>-310876.26302283758</v>
      </c>
      <c r="H16" s="24">
        <f>-MAX(0,H14)*Assumptions!$B$14</f>
        <v>-317166.90577885776</v>
      </c>
      <c r="I16" s="24">
        <f>-MAX(0,I14)*Assumptions!$B$14</f>
        <v>-323640.81922722963</v>
      </c>
      <c r="J16" s="24">
        <f>-MAX(0,J14)*Assumptions!$B$14</f>
        <v>-330302.65294517658</v>
      </c>
      <c r="K16" s="24">
        <f>-MAX(0,K14)*Assumptions!$B$14</f>
        <v>-337157.19726755255</v>
      </c>
    </row>
    <row r="17" spans="1:11">
      <c r="A17" s="21" t="s">
        <v>91</v>
      </c>
      <c r="B17" s="22">
        <f t="shared" ref="B17:K17" si="2">SUM(B14:B16)</f>
        <v>846056.25</v>
      </c>
      <c r="C17" s="22">
        <f t="shared" si="2"/>
        <v>862374.36187499971</v>
      </c>
      <c r="D17" s="22">
        <f t="shared" si="2"/>
        <v>879178.48236562451</v>
      </c>
      <c r="E17" s="22">
        <f t="shared" si="2"/>
        <v>896480.61595645279</v>
      </c>
      <c r="F17" s="22">
        <f t="shared" si="2"/>
        <v>914293.13481935486</v>
      </c>
      <c r="G17" s="22">
        <f t="shared" si="2"/>
        <v>932628.78906851273</v>
      </c>
      <c r="H17" s="22">
        <f t="shared" si="2"/>
        <v>951500.71733657329</v>
      </c>
      <c r="I17" s="22">
        <f t="shared" si="2"/>
        <v>970922.45768168895</v>
      </c>
      <c r="J17" s="22">
        <f t="shared" si="2"/>
        <v>990907.95883552975</v>
      </c>
      <c r="K17" s="22">
        <f t="shared" si="2"/>
        <v>1011471.5918026576</v>
      </c>
    </row>
    <row r="18" spans="1:11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>
      <c r="A19" s="4" t="s">
        <v>98</v>
      </c>
      <c r="B19" s="24">
        <f>B17/(1+Assumptions!$B$15)^(1-0.5)</f>
        <v>804855.83890249638</v>
      </c>
      <c r="C19" s="24">
        <f>C17/(1+Assumptions!$B$15)^(2-0.5)</f>
        <v>742424.71266311675</v>
      </c>
      <c r="D19" s="24">
        <f>D17/(1+Assumptions!$B$15)^(3-0.5)</f>
        <v>684969.69147345854</v>
      </c>
      <c r="E19" s="24">
        <f>E17/(1+Assumptions!$B$15)^(4-0.5)</f>
        <v>632081.28318158328</v>
      </c>
      <c r="F19" s="24">
        <f>F17/(1+Assumptions!$B$15)^(5-0.5)</f>
        <v>583384.93194735982</v>
      </c>
      <c r="G19" s="24">
        <f>G17/(1+Assumptions!$B$15)^(6-0.5)</f>
        <v>538537.91962577135</v>
      </c>
      <c r="H19" s="24">
        <f>H17/(1+Assumptions!$B$15)^(7-0.5)</f>
        <v>497226.55302714178</v>
      </c>
      <c r="I19" s="24">
        <f>I17/(1+Assumptions!$B$15)^(8-0.5)</f>
        <v>459163.60966656357</v>
      </c>
      <c r="J19" s="24">
        <f>J17/(1+Assumptions!$B$15)^(9-0.5)</f>
        <v>424086.01732929616</v>
      </c>
      <c r="K19" s="24">
        <f>K17/(1+Assumptions!$B$15)^(10-0.5)</f>
        <v>391752.74521640135</v>
      </c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25" t="s">
        <v>99</v>
      </c>
      <c r="B21" s="26">
        <f t="shared" ref="B21:K21" si="3">B14</f>
        <v>1128075</v>
      </c>
      <c r="C21" s="26">
        <f t="shared" si="3"/>
        <v>1149832.4824999997</v>
      </c>
      <c r="D21" s="26">
        <f t="shared" si="3"/>
        <v>1172237.9764874994</v>
      </c>
      <c r="E21" s="26">
        <f t="shared" si="3"/>
        <v>1195307.4879419371</v>
      </c>
      <c r="F21" s="26">
        <f t="shared" si="3"/>
        <v>1219057.5130924731</v>
      </c>
      <c r="G21" s="26">
        <f t="shared" si="3"/>
        <v>1243505.0520913503</v>
      </c>
      <c r="H21" s="26">
        <f t="shared" si="3"/>
        <v>1268667.6231154311</v>
      </c>
      <c r="I21" s="26">
        <f t="shared" si="3"/>
        <v>1294563.2769089185</v>
      </c>
      <c r="J21" s="26">
        <f t="shared" si="3"/>
        <v>1321210.6117807063</v>
      </c>
      <c r="K21" s="26">
        <f t="shared" si="3"/>
        <v>1348628.7890702102</v>
      </c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3"/>
  <sheetViews>
    <sheetView workbookViewId="0">
      <selection activeCell="B6" sqref="B6"/>
    </sheetView>
  </sheetViews>
  <sheetFormatPr defaultRowHeight="14"/>
  <cols>
    <col min="1" max="1" width="39" customWidth="1"/>
    <col min="2" max="12" width="17" customWidth="1"/>
    <col min="13" max="15" width="16" customWidth="1"/>
  </cols>
  <sheetData>
    <row r="1" spans="1:13" s="34" customFormat="1" ht="21">
      <c r="A1" s="35" t="s">
        <v>100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7"/>
    </row>
    <row r="2" spans="1:13" s="32" customFormat="1" ht="17" customHeight="1">
      <c r="A2" s="50"/>
      <c r="B2" s="50"/>
      <c r="C2" s="50"/>
      <c r="D2" s="50"/>
      <c r="E2" s="50"/>
      <c r="F2" s="50"/>
      <c r="G2" s="50"/>
      <c r="H2" s="50"/>
      <c r="I2" s="51"/>
      <c r="J2" s="51"/>
      <c r="K2" s="51"/>
      <c r="L2" s="51"/>
      <c r="M2" s="31"/>
    </row>
    <row r="3" spans="1:13" s="32" customFormat="1">
      <c r="A3" s="31" t="s">
        <v>101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>
      <c r="A4" s="52"/>
      <c r="B4" s="52"/>
      <c r="C4" s="52"/>
      <c r="D4" s="52"/>
      <c r="E4" s="52"/>
      <c r="F4" s="52"/>
      <c r="G4" s="52"/>
      <c r="H4" s="52"/>
    </row>
    <row r="5" spans="1:13" s="1" customFormat="1">
      <c r="A5" s="52" t="s">
        <v>102</v>
      </c>
      <c r="B5" s="53">
        <f>SUM(Forecast!B19:K19)</f>
        <v>5758483.3030331889</v>
      </c>
      <c r="C5" s="52"/>
      <c r="D5" s="52"/>
      <c r="E5" s="52"/>
      <c r="F5" s="52"/>
      <c r="G5" s="52"/>
      <c r="H5" s="52"/>
    </row>
    <row r="6" spans="1:13">
      <c r="A6" s="4" t="s">
        <v>103</v>
      </c>
      <c r="B6" s="5">
        <f>Forecast!K17</f>
        <v>1011471.5918026576</v>
      </c>
      <c r="C6" s="4"/>
      <c r="D6" s="4"/>
      <c r="E6" s="4"/>
      <c r="F6" s="4"/>
      <c r="G6" s="4"/>
      <c r="H6" s="4"/>
    </row>
    <row r="7" spans="1:13">
      <c r="A7" s="4" t="s">
        <v>104</v>
      </c>
      <c r="B7" s="6">
        <f>Assumptions!B16</f>
        <v>-1.4999999999999999E-2</v>
      </c>
      <c r="C7" s="4"/>
      <c r="D7" s="4"/>
      <c r="E7" s="4"/>
      <c r="F7" s="4"/>
      <c r="G7" s="4"/>
      <c r="H7" s="4"/>
    </row>
    <row r="8" spans="1:13">
      <c r="A8" s="4" t="s">
        <v>105</v>
      </c>
      <c r="B8" s="6">
        <f>Assumptions!B15</f>
        <v>0.105</v>
      </c>
      <c r="C8" s="4"/>
      <c r="D8" s="4"/>
      <c r="E8" s="4"/>
      <c r="F8" s="4"/>
      <c r="G8" s="4"/>
      <c r="H8" s="4"/>
    </row>
    <row r="9" spans="1:13">
      <c r="A9" s="4" t="s">
        <v>106</v>
      </c>
      <c r="B9" s="24">
        <f>B6*(1+B7)/(B8-B7)</f>
        <v>8302495.9827134814</v>
      </c>
      <c r="C9" s="4"/>
      <c r="D9" s="4"/>
      <c r="E9" s="4"/>
      <c r="F9" s="4"/>
      <c r="G9" s="4"/>
      <c r="H9" s="4"/>
    </row>
    <row r="10" spans="1:13">
      <c r="A10" s="4" t="s">
        <v>107</v>
      </c>
      <c r="B10" s="24">
        <f>B9/(1+B8)^10</f>
        <v>3059045.198704775</v>
      </c>
      <c r="C10" s="4"/>
      <c r="D10" s="4"/>
      <c r="E10" s="4"/>
      <c r="F10" s="4"/>
      <c r="G10" s="4"/>
      <c r="H10" s="4"/>
    </row>
    <row r="11" spans="1:13">
      <c r="A11" s="4"/>
      <c r="B11" s="9"/>
      <c r="C11" s="4"/>
      <c r="D11" s="4"/>
      <c r="E11" s="4"/>
      <c r="F11" s="4"/>
      <c r="G11" s="4"/>
      <c r="H11" s="4"/>
    </row>
    <row r="12" spans="1:13">
      <c r="A12" s="21" t="s">
        <v>108</v>
      </c>
      <c r="B12" s="22">
        <f>SUM(B5,B10)</f>
        <v>8817528.5017379634</v>
      </c>
      <c r="C12" s="21"/>
      <c r="D12" s="21"/>
      <c r="E12" s="21"/>
      <c r="F12" s="21"/>
      <c r="G12" s="21"/>
      <c r="H12" s="21"/>
      <c r="I12" s="3"/>
      <c r="J12" s="3"/>
      <c r="K12" s="3"/>
    </row>
    <row r="13" spans="1:13">
      <c r="A13" s="4"/>
      <c r="B13" s="9"/>
      <c r="C13" s="4"/>
      <c r="D13" s="4"/>
      <c r="E13" s="4"/>
      <c r="F13" s="4"/>
      <c r="G13" s="4"/>
      <c r="H13" s="4"/>
    </row>
    <row r="14" spans="1:13">
      <c r="A14" s="4" t="s">
        <v>109</v>
      </c>
      <c r="B14" s="5">
        <f>Historical!D19</f>
        <v>1106950</v>
      </c>
      <c r="C14" s="4"/>
      <c r="D14" s="4"/>
      <c r="E14" s="4"/>
      <c r="F14" s="4"/>
      <c r="G14" s="4"/>
      <c r="H14" s="4"/>
    </row>
    <row r="15" spans="1:13">
      <c r="A15" s="4" t="s">
        <v>110</v>
      </c>
      <c r="B15" s="27">
        <f>IFERROR(B12/B14,0)</f>
        <v>7.9656068492144749</v>
      </c>
      <c r="C15" s="4"/>
      <c r="D15" s="4"/>
      <c r="E15" s="4"/>
      <c r="F15" s="4"/>
      <c r="G15" s="4"/>
      <c r="H15" s="4"/>
    </row>
    <row r="16" spans="1:13">
      <c r="A16" s="4"/>
      <c r="B16" s="4"/>
      <c r="C16" s="4"/>
      <c r="D16" s="4"/>
      <c r="E16" s="4"/>
      <c r="F16" s="4"/>
      <c r="G16" s="4"/>
      <c r="H16" s="4"/>
    </row>
    <row r="17" spans="1:8">
      <c r="A17" s="49" t="s">
        <v>111</v>
      </c>
      <c r="B17" s="4"/>
      <c r="C17" s="4"/>
      <c r="D17" s="4"/>
      <c r="E17" s="4"/>
      <c r="F17" s="4"/>
      <c r="G17" s="4"/>
      <c r="H17" s="4"/>
    </row>
    <row r="18" spans="1:8">
      <c r="A18" s="4" t="s">
        <v>112</v>
      </c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workbookViewId="0">
      <selection activeCell="E9" sqref="E9"/>
    </sheetView>
  </sheetViews>
  <sheetFormatPr defaultRowHeight="14"/>
  <cols>
    <col min="1" max="1" width="39" style="34" customWidth="1"/>
    <col min="2" max="12" width="17" style="34" customWidth="1"/>
    <col min="13" max="15" width="16" style="34" customWidth="1"/>
    <col min="16" max="16384" width="8.6640625" style="34"/>
  </cols>
  <sheetData>
    <row r="1" spans="1:13" ht="21">
      <c r="A1" s="35" t="s">
        <v>113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7"/>
    </row>
    <row r="2" spans="1:13" ht="15" customHeight="1">
      <c r="A2" s="35"/>
      <c r="B2" s="35"/>
      <c r="C2" s="35"/>
      <c r="D2" s="35"/>
      <c r="E2" s="35"/>
      <c r="F2" s="35"/>
      <c r="G2" s="35"/>
      <c r="H2" s="35"/>
      <c r="I2" s="36"/>
      <c r="J2" s="36"/>
      <c r="K2" s="36"/>
      <c r="L2" s="36"/>
      <c r="M2" s="37"/>
    </row>
    <row r="3" spans="1:13">
      <c r="A3" s="37" t="s">
        <v>114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>
      <c r="A4" s="33"/>
      <c r="B4" s="33"/>
      <c r="C4" s="33"/>
      <c r="D4" s="33"/>
      <c r="E4" s="33"/>
      <c r="F4" s="33"/>
      <c r="G4" s="33"/>
      <c r="H4" s="33"/>
    </row>
    <row r="5" spans="1:13">
      <c r="A5" s="33" t="s">
        <v>115</v>
      </c>
      <c r="B5" s="39">
        <f>Historical!D19</f>
        <v>1106950</v>
      </c>
      <c r="C5" s="33"/>
      <c r="D5" s="33"/>
      <c r="E5" s="33"/>
      <c r="F5" s="33"/>
      <c r="G5" s="33"/>
      <c r="H5" s="33"/>
    </row>
    <row r="6" spans="1:13">
      <c r="A6" s="33" t="s">
        <v>116</v>
      </c>
      <c r="B6" s="41">
        <f>Assumptions!B17</f>
        <v>12</v>
      </c>
      <c r="C6" s="33"/>
      <c r="D6" s="33"/>
      <c r="E6" s="33"/>
      <c r="F6" s="33"/>
      <c r="G6" s="33"/>
      <c r="H6" s="33"/>
    </row>
    <row r="7" spans="1:13">
      <c r="A7" s="33" t="s">
        <v>117</v>
      </c>
      <c r="B7" s="48">
        <f>B5*B6</f>
        <v>13283400</v>
      </c>
      <c r="C7" s="33"/>
      <c r="D7" s="33"/>
      <c r="E7" s="33"/>
      <c r="F7" s="33"/>
      <c r="G7" s="33"/>
      <c r="H7" s="33"/>
    </row>
    <row r="8" spans="1:13">
      <c r="A8" s="33"/>
      <c r="B8" s="44"/>
      <c r="C8" s="33"/>
      <c r="D8" s="33"/>
      <c r="E8" s="33"/>
      <c r="F8" s="33"/>
      <c r="G8" s="33"/>
      <c r="H8" s="33"/>
    </row>
    <row r="9" spans="1:13">
      <c r="A9" s="33" t="s">
        <v>2</v>
      </c>
      <c r="B9" s="39">
        <f>DCF!B12</f>
        <v>8817528.5017379634</v>
      </c>
      <c r="C9" s="33"/>
      <c r="D9" s="33"/>
      <c r="E9" s="33"/>
      <c r="F9" s="33"/>
      <c r="G9" s="33"/>
      <c r="H9" s="33"/>
    </row>
    <row r="10" spans="1:13">
      <c r="A10" s="33" t="s">
        <v>118</v>
      </c>
      <c r="B10" s="48">
        <f>B9-B7</f>
        <v>-4465871.4982620366</v>
      </c>
      <c r="C10" s="33"/>
      <c r="D10" s="33"/>
      <c r="E10" s="33"/>
      <c r="F10" s="33"/>
      <c r="G10" s="33"/>
      <c r="H10" s="33"/>
    </row>
    <row r="11" spans="1:13">
      <c r="A11" s="33"/>
      <c r="B11" s="44"/>
      <c r="C11" s="33"/>
      <c r="D11" s="33"/>
      <c r="E11" s="33"/>
      <c r="F11" s="33"/>
      <c r="G11" s="33"/>
      <c r="H11" s="33"/>
    </row>
    <row r="12" spans="1:13">
      <c r="A12" s="33" t="s">
        <v>119</v>
      </c>
      <c r="B12" s="48">
        <f>B7*90%</f>
        <v>11955060</v>
      </c>
      <c r="C12" s="33"/>
      <c r="D12" s="33"/>
      <c r="E12" s="33"/>
      <c r="F12" s="33"/>
      <c r="G12" s="33"/>
      <c r="H12" s="33"/>
    </row>
    <row r="13" spans="1:13">
      <c r="A13" s="33" t="s">
        <v>120</v>
      </c>
      <c r="B13" s="48">
        <f>B9*110%</f>
        <v>9699281.3519117609</v>
      </c>
      <c r="C13" s="33"/>
      <c r="D13" s="33"/>
      <c r="E13" s="33"/>
      <c r="F13" s="33"/>
      <c r="G13" s="33"/>
      <c r="H13" s="33"/>
    </row>
    <row r="14" spans="1:13">
      <c r="A14" s="33"/>
      <c r="B14" s="33"/>
      <c r="C14" s="33"/>
      <c r="D14" s="33"/>
      <c r="E14" s="33"/>
      <c r="F14" s="33"/>
      <c r="G14" s="33"/>
      <c r="H14" s="33"/>
    </row>
    <row r="15" spans="1:13">
      <c r="A15" s="33"/>
      <c r="B15" s="33"/>
      <c r="C15" s="33"/>
      <c r="D15" s="33"/>
      <c r="E15" s="33"/>
      <c r="F15" s="33"/>
      <c r="G15" s="33"/>
      <c r="H15" s="33"/>
    </row>
    <row r="16" spans="1:13">
      <c r="A16" s="33" t="s">
        <v>121</v>
      </c>
      <c r="B16" s="33"/>
      <c r="C16" s="33"/>
      <c r="D16" s="33"/>
      <c r="E16" s="33"/>
      <c r="F16" s="33"/>
      <c r="G16" s="33"/>
      <c r="H16" s="33"/>
    </row>
    <row r="17" spans="1:8">
      <c r="A17" s="33"/>
      <c r="B17" s="33"/>
      <c r="C17" s="33"/>
      <c r="D17" s="33"/>
      <c r="E17" s="33"/>
      <c r="F17" s="33"/>
      <c r="G17" s="33"/>
      <c r="H17" s="33"/>
    </row>
    <row r="18" spans="1:8">
      <c r="A18" s="33"/>
      <c r="B18" s="33"/>
      <c r="C18" s="33"/>
      <c r="D18" s="33"/>
      <c r="E18" s="33"/>
      <c r="F18" s="33"/>
      <c r="G18" s="33"/>
      <c r="H18" s="33"/>
    </row>
    <row r="19" spans="1:8">
      <c r="A19" s="33"/>
      <c r="B19" s="33"/>
      <c r="C19" s="33"/>
      <c r="D19" s="33"/>
      <c r="E19" s="33"/>
      <c r="F19" s="33"/>
      <c r="G19" s="33"/>
      <c r="H19" s="33"/>
    </row>
    <row r="20" spans="1:8">
      <c r="A20" s="33"/>
      <c r="B20" s="33"/>
      <c r="C20" s="33"/>
      <c r="D20" s="33"/>
      <c r="E20" s="33"/>
      <c r="F20" s="33"/>
      <c r="G20" s="33"/>
      <c r="H20" s="33"/>
    </row>
    <row r="21" spans="1:8">
      <c r="A21" s="33"/>
      <c r="B21" s="33"/>
      <c r="C21" s="33"/>
      <c r="D21" s="33"/>
      <c r="E21" s="33"/>
      <c r="F21" s="33"/>
      <c r="G21" s="33"/>
      <c r="H21" s="33"/>
    </row>
    <row r="22" spans="1:8">
      <c r="A22" s="33"/>
      <c r="B22" s="33"/>
      <c r="C22" s="33"/>
      <c r="D22" s="33"/>
      <c r="E22" s="33"/>
      <c r="F22" s="33"/>
      <c r="G22" s="33"/>
      <c r="H22" s="33"/>
    </row>
    <row r="23" spans="1:8">
      <c r="A23" s="33"/>
      <c r="B23" s="33"/>
      <c r="C23" s="33"/>
      <c r="D23" s="33"/>
      <c r="E23" s="33"/>
      <c r="F23" s="33"/>
      <c r="G23" s="33"/>
      <c r="H23" s="33"/>
    </row>
    <row r="24" spans="1:8">
      <c r="A24" s="33"/>
      <c r="B24" s="33"/>
      <c r="C24" s="33"/>
      <c r="D24" s="33"/>
      <c r="E24" s="33"/>
      <c r="F24" s="33"/>
      <c r="G24" s="33"/>
      <c r="H24" s="33"/>
    </row>
    <row r="25" spans="1:8">
      <c r="A25" s="33"/>
      <c r="B25" s="33"/>
      <c r="C25" s="33"/>
      <c r="D25" s="33"/>
      <c r="E25" s="33"/>
      <c r="F25" s="33"/>
      <c r="G25" s="33"/>
      <c r="H25" s="33"/>
    </row>
    <row r="26" spans="1:8">
      <c r="A26" s="33"/>
      <c r="B26" s="33"/>
      <c r="C26" s="33"/>
      <c r="D26" s="33"/>
      <c r="E26" s="33"/>
      <c r="F26" s="33"/>
      <c r="G26" s="33"/>
      <c r="H26" s="33"/>
    </row>
    <row r="27" spans="1:8">
      <c r="A27" s="33"/>
      <c r="B27" s="33"/>
      <c r="C27" s="33"/>
      <c r="D27" s="33"/>
      <c r="E27" s="33"/>
      <c r="F27" s="33"/>
      <c r="G27" s="33"/>
      <c r="H27" s="33"/>
    </row>
    <row r="28" spans="1:8">
      <c r="A28" s="33"/>
      <c r="B28" s="33"/>
      <c r="C28" s="33"/>
      <c r="D28" s="33"/>
      <c r="E28" s="33"/>
      <c r="F28" s="33"/>
      <c r="G28" s="33"/>
      <c r="H28" s="33"/>
    </row>
    <row r="29" spans="1:8">
      <c r="A29" s="33"/>
      <c r="B29" s="33"/>
      <c r="C29" s="33"/>
      <c r="D29" s="33"/>
      <c r="E29" s="33"/>
      <c r="F29" s="33"/>
      <c r="G29" s="33"/>
      <c r="H29" s="33"/>
    </row>
    <row r="30" spans="1:8">
      <c r="A30" s="33"/>
      <c r="B30" s="33"/>
      <c r="C30" s="33"/>
      <c r="D30" s="33"/>
      <c r="E30" s="33"/>
      <c r="F30" s="33"/>
      <c r="G30" s="33"/>
      <c r="H30" s="33"/>
    </row>
    <row r="31" spans="1:8">
      <c r="A31" s="33"/>
      <c r="B31" s="33"/>
      <c r="C31" s="33"/>
      <c r="D31" s="33"/>
      <c r="E31" s="33"/>
      <c r="F31" s="33"/>
      <c r="G31" s="33"/>
      <c r="H31" s="33"/>
    </row>
    <row r="32" spans="1:8">
      <c r="A32" s="33"/>
      <c r="B32" s="33"/>
      <c r="C32" s="33"/>
      <c r="D32" s="33"/>
      <c r="E32" s="33"/>
      <c r="F32" s="33"/>
      <c r="G32" s="33"/>
      <c r="H32" s="33"/>
    </row>
    <row r="33" spans="1:8">
      <c r="A33" s="33"/>
      <c r="B33" s="33"/>
      <c r="C33" s="33"/>
      <c r="D33" s="33"/>
      <c r="E33" s="33"/>
      <c r="F33" s="33"/>
      <c r="G33" s="33"/>
      <c r="H33" s="33"/>
    </row>
    <row r="34" spans="1:8">
      <c r="A34" s="33"/>
      <c r="B34" s="33"/>
      <c r="C34" s="33"/>
      <c r="D34" s="33"/>
      <c r="E34" s="33"/>
      <c r="F34" s="33"/>
      <c r="G34" s="33"/>
      <c r="H34" s="33"/>
    </row>
    <row r="35" spans="1:8">
      <c r="A35" s="33"/>
      <c r="B35" s="33"/>
      <c r="C35" s="33"/>
      <c r="D35" s="33"/>
      <c r="E35" s="33"/>
      <c r="F35" s="33"/>
      <c r="G35" s="33"/>
      <c r="H35" s="33"/>
    </row>
    <row r="36" spans="1:8">
      <c r="A36" s="33"/>
      <c r="B36" s="33"/>
      <c r="C36" s="33"/>
      <c r="D36" s="33"/>
      <c r="E36" s="33"/>
      <c r="F36" s="33"/>
      <c r="G36" s="33"/>
      <c r="H36" s="33"/>
    </row>
    <row r="37" spans="1:8">
      <c r="A37" s="33"/>
      <c r="B37" s="33"/>
      <c r="C37" s="33"/>
      <c r="D37" s="33"/>
      <c r="E37" s="33"/>
      <c r="F37" s="33"/>
      <c r="G37" s="33"/>
      <c r="H37" s="33"/>
    </row>
    <row r="38" spans="1:8">
      <c r="A38" s="33"/>
      <c r="B38" s="33"/>
      <c r="C38" s="33"/>
      <c r="D38" s="33"/>
      <c r="E38" s="33"/>
      <c r="F38" s="33"/>
      <c r="G38" s="33"/>
      <c r="H38" s="33"/>
    </row>
    <row r="39" spans="1:8">
      <c r="A39" s="33"/>
      <c r="B39" s="33"/>
      <c r="C39" s="33"/>
      <c r="D39" s="33"/>
      <c r="E39" s="33"/>
      <c r="F39" s="33"/>
      <c r="G39" s="33"/>
      <c r="H39" s="33"/>
    </row>
    <row r="40" spans="1:8">
      <c r="A40" s="33"/>
      <c r="B40" s="33"/>
      <c r="C40" s="33"/>
      <c r="D40" s="33"/>
      <c r="E40" s="33"/>
      <c r="F40" s="33"/>
      <c r="G40" s="33"/>
      <c r="H40" s="33"/>
    </row>
    <row r="41" spans="1:8">
      <c r="A41" s="33"/>
      <c r="B41" s="33"/>
      <c r="C41" s="33"/>
      <c r="D41" s="33"/>
      <c r="E41" s="33"/>
      <c r="F41" s="33"/>
      <c r="G41" s="33"/>
      <c r="H41" s="33"/>
    </row>
    <row r="42" spans="1:8">
      <c r="A42" s="33"/>
      <c r="B42" s="33"/>
      <c r="C42" s="33"/>
      <c r="D42" s="33"/>
      <c r="E42" s="33"/>
      <c r="F42" s="33"/>
      <c r="G42" s="33"/>
      <c r="H42" s="33"/>
    </row>
    <row r="43" spans="1:8">
      <c r="A43" s="33"/>
      <c r="B43" s="33"/>
      <c r="C43" s="33"/>
      <c r="D43" s="33"/>
      <c r="E43" s="33"/>
      <c r="F43" s="33"/>
      <c r="G43" s="33"/>
      <c r="H43" s="33"/>
    </row>
    <row r="44" spans="1:8">
      <c r="A44" s="33"/>
      <c r="B44" s="33"/>
      <c r="C44" s="33"/>
      <c r="D44" s="33"/>
      <c r="E44" s="33"/>
      <c r="F44" s="33"/>
      <c r="G44" s="33"/>
      <c r="H44" s="3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33"/>
      <c r="C46" s="33"/>
      <c r="D46" s="33"/>
      <c r="E46" s="33"/>
      <c r="F46" s="33"/>
      <c r="G46" s="33"/>
      <c r="H46" s="33"/>
    </row>
    <row r="47" spans="1:8">
      <c r="A47" s="33"/>
      <c r="B47" s="33"/>
      <c r="C47" s="33"/>
      <c r="D47" s="33"/>
      <c r="E47" s="33"/>
      <c r="F47" s="33"/>
      <c r="G47" s="33"/>
      <c r="H47" s="33"/>
    </row>
    <row r="48" spans="1:8">
      <c r="A48" s="33"/>
      <c r="B48" s="33"/>
      <c r="C48" s="33"/>
      <c r="D48" s="33"/>
      <c r="E48" s="33"/>
      <c r="F48" s="33"/>
      <c r="G48" s="33"/>
      <c r="H48" s="33"/>
    </row>
    <row r="49" spans="1:8">
      <c r="A49" s="33"/>
      <c r="B49" s="33"/>
      <c r="C49" s="33"/>
      <c r="D49" s="33"/>
      <c r="E49" s="33"/>
      <c r="F49" s="33"/>
      <c r="G49" s="33"/>
      <c r="H49" s="33"/>
    </row>
    <row r="50" spans="1:8">
      <c r="A50" s="33"/>
      <c r="B50" s="33"/>
      <c r="C50" s="33"/>
      <c r="D50" s="33"/>
      <c r="E50" s="33"/>
      <c r="F50" s="33"/>
      <c r="G50" s="33"/>
      <c r="H50" s="33"/>
    </row>
    <row r="51" spans="1:8">
      <c r="A51" s="33"/>
      <c r="B51" s="33"/>
      <c r="C51" s="33"/>
      <c r="D51" s="33"/>
      <c r="E51" s="33"/>
      <c r="F51" s="33"/>
      <c r="G51" s="33"/>
      <c r="H51" s="33"/>
    </row>
    <row r="52" spans="1:8">
      <c r="A52" s="33"/>
      <c r="B52" s="33"/>
      <c r="C52" s="33"/>
      <c r="D52" s="33"/>
      <c r="E52" s="33"/>
      <c r="F52" s="33"/>
      <c r="G52" s="33"/>
      <c r="H52" s="33"/>
    </row>
    <row r="53" spans="1:8">
      <c r="A53" s="33"/>
      <c r="B53" s="33"/>
      <c r="C53" s="33"/>
      <c r="D53" s="33"/>
      <c r="E53" s="33"/>
      <c r="F53" s="33"/>
      <c r="G53" s="33"/>
      <c r="H53" s="33"/>
    </row>
    <row r="54" spans="1:8">
      <c r="A54" s="33"/>
      <c r="B54" s="33"/>
      <c r="C54" s="33"/>
      <c r="D54" s="33"/>
      <c r="E54" s="33"/>
      <c r="F54" s="33"/>
      <c r="G54" s="3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33"/>
      <c r="B56" s="33"/>
      <c r="C56" s="33"/>
      <c r="D56" s="33"/>
      <c r="E56" s="33"/>
      <c r="F56" s="33"/>
      <c r="G56" s="33"/>
      <c r="H56" s="33"/>
    </row>
    <row r="57" spans="1:8">
      <c r="A57" s="33"/>
      <c r="B57" s="33"/>
      <c r="C57" s="33"/>
      <c r="D57" s="33"/>
      <c r="E57" s="33"/>
      <c r="F57" s="33"/>
      <c r="G57" s="33"/>
      <c r="H57" s="33"/>
    </row>
    <row r="58" spans="1:8">
      <c r="A58" s="33"/>
      <c r="B58" s="33"/>
      <c r="C58" s="33"/>
      <c r="D58" s="33"/>
      <c r="E58" s="33"/>
      <c r="F58" s="33"/>
      <c r="G58" s="33"/>
      <c r="H58" s="33"/>
    </row>
    <row r="59" spans="1:8">
      <c r="A59" s="33"/>
      <c r="B59" s="33"/>
      <c r="C59" s="33"/>
      <c r="D59" s="33"/>
      <c r="E59" s="33"/>
      <c r="F59" s="33"/>
      <c r="G59" s="33"/>
      <c r="H59" s="33"/>
    </row>
    <row r="60" spans="1:8">
      <c r="A60" s="33"/>
      <c r="B60" s="33"/>
      <c r="C60" s="33"/>
      <c r="D60" s="33"/>
      <c r="E60" s="33"/>
      <c r="F60" s="33"/>
      <c r="G60" s="33"/>
      <c r="H60" s="33"/>
    </row>
    <row r="61" spans="1:8">
      <c r="A61" s="33"/>
      <c r="B61" s="33"/>
      <c r="C61" s="33"/>
      <c r="D61" s="33"/>
      <c r="E61" s="33"/>
      <c r="F61" s="33"/>
      <c r="G61" s="33"/>
      <c r="H61" s="33"/>
    </row>
    <row r="62" spans="1:8">
      <c r="A62" s="33"/>
      <c r="B62" s="33"/>
      <c r="C62" s="33"/>
      <c r="D62" s="33"/>
      <c r="E62" s="33"/>
      <c r="F62" s="33"/>
      <c r="G62" s="33"/>
      <c r="H62" s="33"/>
    </row>
    <row r="63" spans="1:8">
      <c r="A63" s="33"/>
      <c r="B63" s="33"/>
      <c r="C63" s="33"/>
      <c r="D63" s="33"/>
      <c r="E63" s="33"/>
      <c r="F63" s="33"/>
      <c r="G63" s="33"/>
      <c r="H63" s="33"/>
    </row>
    <row r="64" spans="1:8">
      <c r="A64" s="33"/>
      <c r="B64" s="33"/>
      <c r="C64" s="33"/>
      <c r="D64" s="33"/>
      <c r="E64" s="33"/>
      <c r="F64" s="33"/>
      <c r="G64" s="33"/>
      <c r="H64" s="33"/>
    </row>
    <row r="65" spans="1:8">
      <c r="A65" s="33"/>
      <c r="B65" s="33"/>
      <c r="C65" s="33"/>
      <c r="D65" s="33"/>
      <c r="E65" s="33"/>
      <c r="F65" s="33"/>
      <c r="G65" s="33"/>
      <c r="H65" s="33"/>
    </row>
    <row r="66" spans="1:8">
      <c r="A66" s="33"/>
      <c r="B66" s="33"/>
      <c r="C66" s="33"/>
      <c r="D66" s="33"/>
      <c r="E66" s="33"/>
      <c r="F66" s="33"/>
      <c r="G66" s="33"/>
      <c r="H66" s="33"/>
    </row>
    <row r="67" spans="1:8">
      <c r="A67" s="33"/>
      <c r="B67" s="33"/>
      <c r="C67" s="33"/>
      <c r="D67" s="33"/>
      <c r="E67" s="33"/>
      <c r="F67" s="33"/>
      <c r="G67" s="33"/>
      <c r="H67" s="33"/>
    </row>
    <row r="68" spans="1:8">
      <c r="A68" s="33"/>
      <c r="B68" s="33"/>
      <c r="C68" s="33"/>
      <c r="D68" s="33"/>
      <c r="E68" s="33"/>
      <c r="F68" s="33"/>
      <c r="G68" s="33"/>
      <c r="H68" s="33"/>
    </row>
    <row r="69" spans="1:8">
      <c r="A69" s="33"/>
      <c r="B69" s="33"/>
      <c r="C69" s="33"/>
      <c r="D69" s="33"/>
      <c r="E69" s="33"/>
      <c r="F69" s="33"/>
      <c r="G69" s="33"/>
      <c r="H69" s="33"/>
    </row>
    <row r="70" spans="1:8">
      <c r="A70" s="33"/>
      <c r="B70" s="33"/>
      <c r="C70" s="33"/>
      <c r="D70" s="33"/>
      <c r="E70" s="33"/>
      <c r="F70" s="33"/>
      <c r="G70" s="33"/>
      <c r="H70" s="33"/>
    </row>
    <row r="71" spans="1:8">
      <c r="A71" s="33"/>
      <c r="B71" s="33"/>
      <c r="C71" s="33"/>
      <c r="D71" s="33"/>
      <c r="E71" s="33"/>
      <c r="F71" s="33"/>
      <c r="G71" s="33"/>
      <c r="H71" s="33"/>
    </row>
    <row r="72" spans="1:8">
      <c r="A72" s="33"/>
      <c r="B72" s="33"/>
      <c r="C72" s="33"/>
      <c r="D72" s="33"/>
      <c r="E72" s="33"/>
      <c r="F72" s="33"/>
      <c r="G72" s="33"/>
      <c r="H72" s="33"/>
    </row>
    <row r="73" spans="1:8">
      <c r="A73" s="33"/>
      <c r="B73" s="33"/>
      <c r="C73" s="33"/>
      <c r="D73" s="33"/>
      <c r="E73" s="33"/>
      <c r="F73" s="33"/>
      <c r="G73" s="33"/>
      <c r="H73" s="33"/>
    </row>
    <row r="74" spans="1:8">
      <c r="A74" s="33"/>
      <c r="B74" s="33"/>
      <c r="C74" s="33"/>
      <c r="D74" s="33"/>
      <c r="E74" s="33"/>
      <c r="F74" s="33"/>
      <c r="G74" s="33"/>
      <c r="H74" s="33"/>
    </row>
    <row r="75" spans="1:8">
      <c r="A75" s="33"/>
      <c r="B75" s="33"/>
      <c r="C75" s="33"/>
      <c r="D75" s="33"/>
      <c r="E75" s="33"/>
      <c r="F75" s="33"/>
      <c r="G75" s="33"/>
      <c r="H75" s="33"/>
    </row>
    <row r="76" spans="1:8">
      <c r="A76" s="33"/>
      <c r="B76" s="33"/>
      <c r="C76" s="33"/>
      <c r="D76" s="33"/>
      <c r="E76" s="33"/>
      <c r="F76" s="33"/>
      <c r="G76" s="33"/>
      <c r="H76" s="33"/>
    </row>
    <row r="77" spans="1:8">
      <c r="A77" s="33"/>
      <c r="B77" s="33"/>
      <c r="C77" s="33"/>
      <c r="D77" s="33"/>
      <c r="E77" s="33"/>
      <c r="F77" s="33"/>
      <c r="G77" s="33"/>
      <c r="H77" s="33"/>
    </row>
    <row r="78" spans="1:8">
      <c r="A78" s="33"/>
      <c r="B78" s="33"/>
      <c r="C78" s="33"/>
      <c r="D78" s="33"/>
      <c r="E78" s="33"/>
      <c r="F78" s="33"/>
      <c r="G78" s="33"/>
      <c r="H78" s="33"/>
    </row>
    <row r="79" spans="1:8">
      <c r="A79" s="33"/>
      <c r="B79" s="33"/>
      <c r="C79" s="33"/>
      <c r="D79" s="33"/>
      <c r="E79" s="33"/>
      <c r="F79" s="33"/>
      <c r="G79" s="33"/>
      <c r="H79" s="33"/>
    </row>
    <row r="80" spans="1:8">
      <c r="A80" s="33"/>
      <c r="B80" s="33"/>
      <c r="C80" s="33"/>
      <c r="D80" s="33"/>
      <c r="E80" s="33"/>
      <c r="F80" s="33"/>
      <c r="G80" s="33"/>
      <c r="H80" s="33"/>
    </row>
    <row r="81" spans="1:8">
      <c r="A81" s="33"/>
      <c r="B81" s="33"/>
      <c r="C81" s="33"/>
      <c r="D81" s="33"/>
      <c r="E81" s="33"/>
      <c r="F81" s="33"/>
      <c r="G81" s="33"/>
      <c r="H81" s="33"/>
    </row>
    <row r="82" spans="1:8">
      <c r="A82" s="33"/>
      <c r="B82" s="33"/>
      <c r="C82" s="33"/>
      <c r="D82" s="33"/>
      <c r="E82" s="33"/>
      <c r="F82" s="33"/>
      <c r="G82" s="33"/>
      <c r="H82" s="33"/>
    </row>
    <row r="83" spans="1:8">
      <c r="A83" s="33"/>
      <c r="B83" s="33"/>
      <c r="C83" s="33"/>
      <c r="D83" s="33"/>
      <c r="E83" s="33"/>
      <c r="F83" s="33"/>
      <c r="G83" s="33"/>
      <c r="H83" s="33"/>
    </row>
    <row r="84" spans="1:8">
      <c r="A84" s="33"/>
      <c r="B84" s="33"/>
      <c r="C84" s="33"/>
      <c r="D84" s="33"/>
      <c r="E84" s="33"/>
      <c r="F84" s="33"/>
      <c r="G84" s="33"/>
      <c r="H84" s="33"/>
    </row>
    <row r="85" spans="1:8">
      <c r="A85" s="33"/>
      <c r="B85" s="33"/>
      <c r="C85" s="33"/>
      <c r="D85" s="33"/>
      <c r="E85" s="33"/>
      <c r="F85" s="33"/>
      <c r="G85" s="33"/>
      <c r="H85" s="33"/>
    </row>
    <row r="86" spans="1:8">
      <c r="A86" s="33"/>
      <c r="B86" s="33"/>
      <c r="C86" s="33"/>
      <c r="D86" s="33"/>
      <c r="E86" s="33"/>
      <c r="F86" s="33"/>
      <c r="G86" s="33"/>
      <c r="H86" s="33"/>
    </row>
    <row r="87" spans="1:8">
      <c r="A87" s="33"/>
      <c r="B87" s="33"/>
      <c r="C87" s="33"/>
      <c r="D87" s="33"/>
      <c r="E87" s="33"/>
      <c r="F87" s="33"/>
      <c r="G87" s="33"/>
      <c r="H87" s="33"/>
    </row>
    <row r="88" spans="1:8">
      <c r="A88" s="33"/>
      <c r="B88" s="33"/>
      <c r="C88" s="33"/>
      <c r="D88" s="33"/>
      <c r="E88" s="33"/>
      <c r="F88" s="33"/>
      <c r="G88" s="33"/>
      <c r="H88" s="33"/>
    </row>
    <row r="89" spans="1:8">
      <c r="A89" s="33"/>
      <c r="B89" s="33"/>
      <c r="C89" s="33"/>
      <c r="D89" s="33"/>
      <c r="E89" s="33"/>
      <c r="F89" s="33"/>
      <c r="G89" s="33"/>
      <c r="H89" s="33"/>
    </row>
    <row r="90" spans="1:8">
      <c r="A90" s="33"/>
      <c r="B90" s="33"/>
      <c r="C90" s="33"/>
      <c r="D90" s="33"/>
      <c r="E90" s="33"/>
      <c r="F90" s="33"/>
      <c r="G90" s="33"/>
      <c r="H90" s="33"/>
    </row>
    <row r="91" spans="1:8">
      <c r="A91" s="33"/>
      <c r="B91" s="33"/>
      <c r="C91" s="33"/>
      <c r="D91" s="33"/>
      <c r="E91" s="33"/>
      <c r="F91" s="33"/>
      <c r="G91" s="33"/>
      <c r="H91" s="33"/>
    </row>
    <row r="92" spans="1:8">
      <c r="A92" s="33"/>
      <c r="B92" s="33"/>
      <c r="C92" s="33"/>
      <c r="D92" s="33"/>
      <c r="E92" s="33"/>
      <c r="F92" s="33"/>
      <c r="G92" s="33"/>
      <c r="H92" s="33"/>
    </row>
    <row r="93" spans="1:8">
      <c r="A93" s="33"/>
      <c r="B93" s="33"/>
      <c r="C93" s="33"/>
      <c r="D93" s="33"/>
      <c r="E93" s="33"/>
      <c r="F93" s="33"/>
      <c r="G93" s="33"/>
      <c r="H93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4"/>
  <sheetViews>
    <sheetView topLeftCell="A22" workbookViewId="0">
      <selection activeCell="E10" sqref="E10"/>
    </sheetView>
  </sheetViews>
  <sheetFormatPr defaultRowHeight="14"/>
  <cols>
    <col min="1" max="1" width="39" customWidth="1"/>
    <col min="2" max="12" width="17" customWidth="1"/>
    <col min="13" max="15" width="16" customWidth="1"/>
  </cols>
  <sheetData>
    <row r="1" spans="1:13" s="34" customFormat="1" ht="17.5">
      <c r="A1" s="35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7"/>
    </row>
    <row r="2" spans="1:13" s="34" customForma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34" customFormat="1">
      <c r="A3" s="37" t="s">
        <v>123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34" customForma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>
      <c r="A5" s="4" t="s">
        <v>20</v>
      </c>
      <c r="B5" s="5">
        <f>Historical!D19</f>
        <v>1106950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3">
      <c r="A6" s="4" t="s">
        <v>124</v>
      </c>
      <c r="B6" s="7">
        <f>Assumptions!B18</f>
        <v>11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>
      <c r="A7" s="21" t="s">
        <v>125</v>
      </c>
      <c r="B7" s="22">
        <f>B5*B6</f>
        <v>12176450</v>
      </c>
      <c r="C7" s="21"/>
      <c r="D7" s="21"/>
      <c r="E7" s="21"/>
      <c r="F7" s="21"/>
      <c r="G7" s="21"/>
      <c r="H7" s="21"/>
      <c r="I7" s="21"/>
      <c r="J7" s="21"/>
      <c r="K7" s="21"/>
      <c r="L7" s="4"/>
    </row>
    <row r="8" spans="1:13">
      <c r="A8" s="4" t="s">
        <v>126</v>
      </c>
      <c r="B8" s="24">
        <f>B7*Assumptions!B24</f>
        <v>182646.75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spans="1:13">
      <c r="A9" s="21" t="s">
        <v>127</v>
      </c>
      <c r="B9" s="22">
        <f>SUM(B7:B8)</f>
        <v>12359096.75</v>
      </c>
      <c r="C9" s="21"/>
      <c r="D9" s="21"/>
      <c r="E9" s="21"/>
      <c r="F9" s="21"/>
      <c r="G9" s="21"/>
      <c r="H9" s="21"/>
      <c r="I9" s="21"/>
      <c r="J9" s="21"/>
      <c r="K9" s="21"/>
      <c r="L9" s="4"/>
    </row>
    <row r="10" spans="1:13">
      <c r="A10" s="4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>
      <c r="A11" s="4" t="s">
        <v>128</v>
      </c>
      <c r="B11" s="24">
        <f>B7*Assumptions!B19</f>
        <v>7305870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3">
      <c r="A12" s="4" t="s">
        <v>129</v>
      </c>
      <c r="B12" s="24">
        <f>B9-B11</f>
        <v>5053226.75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>
      <c r="A14" s="4" t="s">
        <v>130</v>
      </c>
      <c r="B14" s="6">
        <f>Assumptions!B19</f>
        <v>0.6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3">
      <c r="A15" s="4" t="s">
        <v>131</v>
      </c>
      <c r="B15" s="6">
        <f>Assumptions!B20</f>
        <v>7.4999999999999997E-2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>
      <c r="A16" s="4" t="s">
        <v>132</v>
      </c>
      <c r="B16" s="6">
        <f>Assumptions!B21</f>
        <v>0.05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3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3" s="34" customForma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3" s="34" customFormat="1">
      <c r="A19" s="37" t="s">
        <v>133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34" customForma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3">
      <c r="A21" s="4" t="s">
        <v>134</v>
      </c>
      <c r="B21" s="4">
        <v>0</v>
      </c>
      <c r="C21" s="8">
        <f>Forecast!B4</f>
        <v>2026</v>
      </c>
      <c r="D21" s="8">
        <f>Forecast!C4</f>
        <v>2027</v>
      </c>
      <c r="E21" s="8">
        <f>Forecast!D4</f>
        <v>2028</v>
      </c>
      <c r="F21" s="8">
        <f>Forecast!E4</f>
        <v>2029</v>
      </c>
      <c r="G21" s="8">
        <f>Forecast!F4</f>
        <v>2030</v>
      </c>
      <c r="H21" s="8">
        <f>Forecast!G4</f>
        <v>2031</v>
      </c>
      <c r="I21" s="8">
        <f>Forecast!H4</f>
        <v>2032</v>
      </c>
      <c r="J21" s="8">
        <f>Forecast!I4</f>
        <v>2033</v>
      </c>
      <c r="K21" s="8">
        <f>Forecast!J4</f>
        <v>2034</v>
      </c>
      <c r="L21" s="8">
        <f>Forecast!K4</f>
        <v>2035</v>
      </c>
    </row>
    <row r="22" spans="1:13">
      <c r="A22" s="4" t="s">
        <v>135</v>
      </c>
      <c r="B22" s="9"/>
      <c r="C22" s="5">
        <f>Forecast!B17</f>
        <v>846056.25</v>
      </c>
      <c r="D22" s="5">
        <f>Forecast!C17</f>
        <v>862374.36187499971</v>
      </c>
      <c r="E22" s="5">
        <f>Forecast!D17</f>
        <v>879178.48236562451</v>
      </c>
      <c r="F22" s="5">
        <f>Forecast!E17</f>
        <v>896480.61595645279</v>
      </c>
      <c r="G22" s="5">
        <f>Forecast!F17</f>
        <v>914293.13481935486</v>
      </c>
      <c r="H22" s="5">
        <f>Forecast!G17</f>
        <v>932628.78906851273</v>
      </c>
      <c r="I22" s="5">
        <f>Forecast!H17</f>
        <v>951500.71733657329</v>
      </c>
      <c r="J22" s="5">
        <f>Forecast!I17</f>
        <v>970922.45768168895</v>
      </c>
      <c r="K22" s="5">
        <f>Forecast!J17</f>
        <v>990907.95883552975</v>
      </c>
      <c r="L22" s="5">
        <f>Forecast!K17</f>
        <v>1011471.5918026576</v>
      </c>
    </row>
    <row r="23" spans="1:13">
      <c r="A23" s="4" t="s">
        <v>136</v>
      </c>
      <c r="B23" s="9"/>
      <c r="C23" s="24">
        <f>$B$11</f>
        <v>7305870</v>
      </c>
      <c r="D23" s="24">
        <f t="shared" ref="D23:L23" si="0">C26</f>
        <v>6940576.5</v>
      </c>
      <c r="E23" s="24">
        <f t="shared" si="0"/>
        <v>6575283</v>
      </c>
      <c r="F23" s="24">
        <f t="shared" si="0"/>
        <v>6209989.5</v>
      </c>
      <c r="G23" s="24">
        <f t="shared" si="0"/>
        <v>5844696</v>
      </c>
      <c r="H23" s="24">
        <f t="shared" si="0"/>
        <v>5479402.5</v>
      </c>
      <c r="I23" s="24">
        <f t="shared" si="0"/>
        <v>5114109</v>
      </c>
      <c r="J23" s="24">
        <f t="shared" si="0"/>
        <v>4748815.5</v>
      </c>
      <c r="K23" s="24">
        <f t="shared" si="0"/>
        <v>4383522</v>
      </c>
      <c r="L23" s="24">
        <f t="shared" si="0"/>
        <v>4018228.5</v>
      </c>
    </row>
    <row r="24" spans="1:13">
      <c r="A24" s="4" t="s">
        <v>137</v>
      </c>
      <c r="B24" s="9"/>
      <c r="C24" s="24">
        <f t="shared" ref="C24:L24" si="1">-C23*$B$15</f>
        <v>-547940.25</v>
      </c>
      <c r="D24" s="24">
        <f t="shared" si="1"/>
        <v>-520543.23749999999</v>
      </c>
      <c r="E24" s="24">
        <f t="shared" si="1"/>
        <v>-493146.22499999998</v>
      </c>
      <c r="F24" s="24">
        <f t="shared" si="1"/>
        <v>-465749.21249999997</v>
      </c>
      <c r="G24" s="24">
        <f t="shared" si="1"/>
        <v>-438352.2</v>
      </c>
      <c r="H24" s="24">
        <f t="shared" si="1"/>
        <v>-410955.1875</v>
      </c>
      <c r="I24" s="24">
        <f t="shared" si="1"/>
        <v>-383558.17499999999</v>
      </c>
      <c r="J24" s="24">
        <f t="shared" si="1"/>
        <v>-356161.16249999998</v>
      </c>
      <c r="K24" s="24">
        <f t="shared" si="1"/>
        <v>-328764.14999999997</v>
      </c>
      <c r="L24" s="24">
        <f t="shared" si="1"/>
        <v>-301367.13750000001</v>
      </c>
    </row>
    <row r="25" spans="1:13">
      <c r="A25" s="4" t="s">
        <v>138</v>
      </c>
      <c r="B25" s="9"/>
      <c r="C25" s="24">
        <f t="shared" ref="C25:L25" si="2">-MIN(C23,$B$11*$B$16)</f>
        <v>-365293.5</v>
      </c>
      <c r="D25" s="24">
        <f t="shared" si="2"/>
        <v>-365293.5</v>
      </c>
      <c r="E25" s="24">
        <f t="shared" si="2"/>
        <v>-365293.5</v>
      </c>
      <c r="F25" s="24">
        <f t="shared" si="2"/>
        <v>-365293.5</v>
      </c>
      <c r="G25" s="24">
        <f t="shared" si="2"/>
        <v>-365293.5</v>
      </c>
      <c r="H25" s="24">
        <f t="shared" si="2"/>
        <v>-365293.5</v>
      </c>
      <c r="I25" s="24">
        <f t="shared" si="2"/>
        <v>-365293.5</v>
      </c>
      <c r="J25" s="24">
        <f t="shared" si="2"/>
        <v>-365293.5</v>
      </c>
      <c r="K25" s="24">
        <f t="shared" si="2"/>
        <v>-365293.5</v>
      </c>
      <c r="L25" s="24">
        <f t="shared" si="2"/>
        <v>-365293.5</v>
      </c>
    </row>
    <row r="26" spans="1:13">
      <c r="A26" s="4" t="s">
        <v>139</v>
      </c>
      <c r="B26" s="9"/>
      <c r="C26" s="24">
        <f t="shared" ref="C26:L26" si="3">SUM(C23,C25)</f>
        <v>6940576.5</v>
      </c>
      <c r="D26" s="24">
        <f t="shared" si="3"/>
        <v>6575283</v>
      </c>
      <c r="E26" s="24">
        <f t="shared" si="3"/>
        <v>6209989.5</v>
      </c>
      <c r="F26" s="24">
        <f t="shared" si="3"/>
        <v>5844696</v>
      </c>
      <c r="G26" s="24">
        <f t="shared" si="3"/>
        <v>5479402.5</v>
      </c>
      <c r="H26" s="24">
        <f t="shared" si="3"/>
        <v>5114109</v>
      </c>
      <c r="I26" s="24">
        <f t="shared" si="3"/>
        <v>4748815.5</v>
      </c>
      <c r="J26" s="24">
        <f t="shared" si="3"/>
        <v>4383522</v>
      </c>
      <c r="K26" s="24">
        <f t="shared" si="3"/>
        <v>4018228.5</v>
      </c>
      <c r="L26" s="24">
        <f t="shared" si="3"/>
        <v>3652935</v>
      </c>
    </row>
    <row r="27" spans="1:13">
      <c r="A27" s="4" t="s">
        <v>140</v>
      </c>
      <c r="B27" s="9"/>
      <c r="C27" s="24">
        <f t="shared" ref="C27:L27" si="4">SUM(C22,C24:C25)</f>
        <v>-67177.5</v>
      </c>
      <c r="D27" s="24">
        <f t="shared" si="4"/>
        <v>-23462.375625000277</v>
      </c>
      <c r="E27" s="24">
        <f t="shared" si="4"/>
        <v>20738.757365624537</v>
      </c>
      <c r="F27" s="24">
        <f t="shared" si="4"/>
        <v>65437.903456452827</v>
      </c>
      <c r="G27" s="24">
        <f t="shared" si="4"/>
        <v>110647.43481935485</v>
      </c>
      <c r="H27" s="24">
        <f t="shared" si="4"/>
        <v>156380.10156851273</v>
      </c>
      <c r="I27" s="24">
        <f t="shared" si="4"/>
        <v>202649.04233657336</v>
      </c>
      <c r="J27" s="24">
        <f t="shared" si="4"/>
        <v>249467.79518168897</v>
      </c>
      <c r="K27" s="24">
        <f t="shared" si="4"/>
        <v>296850.30883552972</v>
      </c>
      <c r="L27" s="24">
        <f t="shared" si="4"/>
        <v>344810.95430265763</v>
      </c>
    </row>
    <row r="28" spans="1:13">
      <c r="A28" s="4" t="s">
        <v>141</v>
      </c>
      <c r="B28" s="9"/>
      <c r="C28" s="24">
        <f>0</f>
        <v>0</v>
      </c>
      <c r="D28" s="24">
        <f>0</f>
        <v>0</v>
      </c>
      <c r="E28" s="24">
        <f>0</f>
        <v>0</v>
      </c>
      <c r="F28" s="24">
        <f>0</f>
        <v>0</v>
      </c>
      <c r="G28" s="24">
        <f>0</f>
        <v>0</v>
      </c>
      <c r="H28" s="24">
        <f>0</f>
        <v>0</v>
      </c>
      <c r="I28" s="24">
        <f>0</f>
        <v>0</v>
      </c>
      <c r="J28" s="24">
        <f>0</f>
        <v>0</v>
      </c>
      <c r="K28" s="24">
        <f>0</f>
        <v>0</v>
      </c>
      <c r="L28" s="24">
        <f>Forecast!K21*Assumptions!$B$22</f>
        <v>13486287.890702102</v>
      </c>
    </row>
    <row r="29" spans="1:13">
      <c r="A29" s="4" t="s">
        <v>142</v>
      </c>
      <c r="B29" s="9"/>
      <c r="C29" s="24">
        <f>-C28*Assumptions!$B$23</f>
        <v>0</v>
      </c>
      <c r="D29" s="24">
        <f>-D28*Assumptions!$B$23</f>
        <v>0</v>
      </c>
      <c r="E29" s="24">
        <f>-E28*Assumptions!$B$23</f>
        <v>0</v>
      </c>
      <c r="F29" s="24">
        <f>-F28*Assumptions!$B$23</f>
        <v>0</v>
      </c>
      <c r="G29" s="24">
        <f>-G28*Assumptions!$B$23</f>
        <v>0</v>
      </c>
      <c r="H29" s="24">
        <f>-H28*Assumptions!$B$23</f>
        <v>0</v>
      </c>
      <c r="I29" s="24">
        <f>-I28*Assumptions!$B$23</f>
        <v>0</v>
      </c>
      <c r="J29" s="24">
        <f>-J28*Assumptions!$B$23</f>
        <v>0</v>
      </c>
      <c r="K29" s="24">
        <f>-K28*Assumptions!$B$23</f>
        <v>0</v>
      </c>
      <c r="L29" s="24">
        <f>-L28*Assumptions!$B$23</f>
        <v>-269725.75781404204</v>
      </c>
    </row>
    <row r="30" spans="1:13">
      <c r="A30" s="4" t="s">
        <v>143</v>
      </c>
      <c r="B30" s="9"/>
      <c r="C30" s="24">
        <f>0</f>
        <v>0</v>
      </c>
      <c r="D30" s="24">
        <f>0</f>
        <v>0</v>
      </c>
      <c r="E30" s="24">
        <f>0</f>
        <v>0</v>
      </c>
      <c r="F30" s="24">
        <f>0</f>
        <v>0</v>
      </c>
      <c r="G30" s="24">
        <f>0</f>
        <v>0</v>
      </c>
      <c r="H30" s="24">
        <f>0</f>
        <v>0</v>
      </c>
      <c r="I30" s="24">
        <f>0</f>
        <v>0</v>
      </c>
      <c r="J30" s="24">
        <f>0</f>
        <v>0</v>
      </c>
      <c r="K30" s="24">
        <f>0</f>
        <v>0</v>
      </c>
      <c r="L30" s="24">
        <f>SUM(L28:L29)-L26</f>
        <v>9563627.1328880601</v>
      </c>
    </row>
    <row r="31" spans="1:13">
      <c r="A31" s="4" t="s">
        <v>144</v>
      </c>
      <c r="B31" s="24">
        <f>-B12</f>
        <v>-5053226.75</v>
      </c>
      <c r="C31" s="24">
        <f t="shared" ref="C31:L31" si="5">SUM(C27,C30)</f>
        <v>-67177.5</v>
      </c>
      <c r="D31" s="24">
        <f t="shared" si="5"/>
        <v>-23462.375625000277</v>
      </c>
      <c r="E31" s="24">
        <f t="shared" si="5"/>
        <v>20738.757365624537</v>
      </c>
      <c r="F31" s="24">
        <f t="shared" si="5"/>
        <v>65437.903456452827</v>
      </c>
      <c r="G31" s="24">
        <f t="shared" si="5"/>
        <v>110647.43481935485</v>
      </c>
      <c r="H31" s="24">
        <f t="shared" si="5"/>
        <v>156380.10156851273</v>
      </c>
      <c r="I31" s="24">
        <f t="shared" si="5"/>
        <v>202649.04233657336</v>
      </c>
      <c r="J31" s="24">
        <f t="shared" si="5"/>
        <v>249467.79518168897</v>
      </c>
      <c r="K31" s="24">
        <f t="shared" si="5"/>
        <v>296850.30883552972</v>
      </c>
      <c r="L31" s="24">
        <f t="shared" si="5"/>
        <v>9908438.0871907175</v>
      </c>
    </row>
    <row r="32" spans="1:13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4" t="s">
        <v>145</v>
      </c>
      <c r="B33" s="23">
        <f>IRR(B31:L31)</f>
        <v>8.2039307427102415E-2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4" t="s">
        <v>7</v>
      </c>
      <c r="B34" s="27">
        <f>SUM(C31:L31)/-B31</f>
        <v>2.1609894222794286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4" t="s">
        <v>146</v>
      </c>
      <c r="B35" s="23">
        <f>IRR(B37:L37)</f>
        <v>7.8789765649722288E-2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4" t="s">
        <v>147</v>
      </c>
      <c r="B37" s="24">
        <f>-B9</f>
        <v>-12359096.75</v>
      </c>
      <c r="C37" s="24">
        <f t="shared" ref="C37:L37" si="6">C22+C28+C29</f>
        <v>846056.25</v>
      </c>
      <c r="D37" s="24">
        <f t="shared" si="6"/>
        <v>862374.36187499971</v>
      </c>
      <c r="E37" s="24">
        <f t="shared" si="6"/>
        <v>879178.48236562451</v>
      </c>
      <c r="F37" s="24">
        <f t="shared" si="6"/>
        <v>896480.61595645279</v>
      </c>
      <c r="G37" s="24">
        <f t="shared" si="6"/>
        <v>914293.13481935486</v>
      </c>
      <c r="H37" s="24">
        <f t="shared" si="6"/>
        <v>932628.78906851273</v>
      </c>
      <c r="I37" s="24">
        <f t="shared" si="6"/>
        <v>951500.71733657329</v>
      </c>
      <c r="J37" s="24">
        <f t="shared" si="6"/>
        <v>970922.45768168895</v>
      </c>
      <c r="K37" s="24">
        <f t="shared" si="6"/>
        <v>990907.95883552975</v>
      </c>
      <c r="L37" s="24">
        <f t="shared" si="6"/>
        <v>14228033.724690717</v>
      </c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topLeftCell="A9" workbookViewId="0">
      <selection activeCell="A19" sqref="A19"/>
    </sheetView>
  </sheetViews>
  <sheetFormatPr defaultRowHeight="14"/>
  <cols>
    <col min="1" max="1" width="39" customWidth="1"/>
    <col min="2" max="12" width="17" customWidth="1"/>
    <col min="13" max="15" width="16" customWidth="1"/>
  </cols>
  <sheetData>
    <row r="1" spans="1:8" s="34" customFormat="1" ht="17.5">
      <c r="A1" s="35" t="s">
        <v>148</v>
      </c>
      <c r="B1" s="35"/>
      <c r="C1" s="35"/>
      <c r="D1" s="35"/>
      <c r="E1" s="35"/>
      <c r="F1" s="35"/>
      <c r="G1" s="35"/>
      <c r="H1" s="35"/>
    </row>
    <row r="2" spans="1:8" s="34" customFormat="1">
      <c r="A2" s="33"/>
      <c r="B2" s="33"/>
      <c r="C2" s="33"/>
      <c r="D2" s="33"/>
      <c r="E2" s="33"/>
      <c r="F2" s="33"/>
      <c r="G2" s="33"/>
      <c r="H2" s="33"/>
    </row>
    <row r="3" spans="1:8" s="34" customFormat="1">
      <c r="A3" s="37" t="s">
        <v>149</v>
      </c>
      <c r="B3" s="37"/>
      <c r="C3" s="37"/>
      <c r="D3" s="37"/>
      <c r="E3" s="37"/>
      <c r="F3" s="37"/>
      <c r="G3" s="37"/>
      <c r="H3" s="37"/>
    </row>
    <row r="4" spans="1:8" s="34" customFormat="1">
      <c r="A4" s="33"/>
      <c r="B4" s="33"/>
      <c r="C4" s="33"/>
      <c r="D4" s="33"/>
      <c r="E4" s="33"/>
      <c r="F4" s="33"/>
      <c r="G4" s="33"/>
      <c r="H4" s="33"/>
    </row>
    <row r="5" spans="1:8">
      <c r="A5" s="4" t="s">
        <v>150</v>
      </c>
      <c r="B5" s="4"/>
      <c r="C5" s="4"/>
      <c r="D5" s="4"/>
      <c r="E5" s="4"/>
      <c r="F5" s="4"/>
      <c r="G5" s="4"/>
      <c r="H5" s="4"/>
    </row>
    <row r="6" spans="1:8">
      <c r="A6" s="4"/>
      <c r="B6" s="4"/>
      <c r="C6" s="13">
        <v>-3.5000000000000003E-2</v>
      </c>
      <c r="D6" s="13">
        <v>-2.5000000000000001E-2</v>
      </c>
      <c r="E6" s="13">
        <v>-1.4999999999999999E-2</v>
      </c>
      <c r="F6" s="13">
        <v>-5.0000000000000001E-3</v>
      </c>
      <c r="G6" s="13">
        <v>5.0000000000000001E-3</v>
      </c>
      <c r="H6" s="4"/>
    </row>
    <row r="7" spans="1:8">
      <c r="A7" s="4"/>
      <c r="B7" s="13">
        <v>8.5000000000000006E-2</v>
      </c>
      <c r="C7" s="24">
        <f>IFERROR((Forecast!$B$17/(1+$B7)^(1-0.5)+Forecast!$C$17/(1+$B7)^(2-0.5)+Forecast!$D$17/(1+$B7)^(3-0.5)+Forecast!$E$17/(1+$B7)^(4-0.5)+Forecast!$F$17/(1+$B7)^(5-0.5)+Forecast!$G$17/(1+$B7)^(6-0.5)+Forecast!$H$17/(1+$B7)^(7-0.5)+Forecast!$I$17/(1+$B7)^(8-0.5)+Forecast!$J$17/(1+$B7)^(9-0.5)+Forecast!$K$17/(1+$B7)^(10-0.5))+Forecast!$K$17*(1+C$6)/($B7-C$6)/(1+$B7)^10,0)</f>
        <v>9840174.7427376732</v>
      </c>
      <c r="D7" s="24">
        <f>IFERROR((Forecast!$B$17/(1+$B7)^(1-0.5)+Forecast!$C$17/(1+$B7)^(2-0.5)+Forecast!$D$17/(1+$B7)^(3-0.5)+Forecast!$E$17/(1+$B7)^(4-0.5)+Forecast!$F$17/(1+$B7)^(5-0.5)+Forecast!$G$17/(1+$B7)^(6-0.5)+Forecast!$H$17/(1+$B7)^(7-0.5)+Forecast!$I$17/(1+$B7)^(8-0.5)+Forecast!$J$17/(1+$B7)^(9-0.5)+Forecast!$K$17/(1+$B7)^(10-0.5))+Forecast!$K$17*(1+D$6)/($B7-D$6)/(1+$B7)^10,0)</f>
        <v>10207890.393544216</v>
      </c>
      <c r="E7" s="24">
        <f>IFERROR((Forecast!$B$17/(1+$B7)^(1-0.5)+Forecast!$C$17/(1+$B7)^(2-0.5)+Forecast!$D$17/(1+$B7)^(3-0.5)+Forecast!$E$17/(1+$B7)^(4-0.5)+Forecast!$F$17/(1+$B7)^(5-0.5)+Forecast!$G$17/(1+$B7)^(6-0.5)+Forecast!$H$17/(1+$B7)^(7-0.5)+Forecast!$I$17/(1+$B7)^(8-0.5)+Forecast!$J$17/(1+$B7)^(9-0.5)+Forecast!$K$17/(1+$B7)^(10-0.5))+Forecast!$K$17*(1+E$6)/($B7-E$6)/(1+$B7)^10,0)</f>
        <v>10649149.17451207</v>
      </c>
      <c r="F7" s="24">
        <f>IFERROR((Forecast!$B$17/(1+$B7)^(1-0.5)+Forecast!$C$17/(1+$B7)^(2-0.5)+Forecast!$D$17/(1+$B7)^(3-0.5)+Forecast!$E$17/(1+$B7)^(4-0.5)+Forecast!$F$17/(1+$B7)^(5-0.5)+Forecast!$G$17/(1+$B7)^(6-0.5)+Forecast!$H$17/(1+$B7)^(7-0.5)+Forecast!$I$17/(1+$B7)^(8-0.5)+Forecast!$J$17/(1+$B7)^(9-0.5)+Forecast!$K$17/(1+$B7)^(10-0.5))+Forecast!$K$17*(1+F$6)/($B7-F$6)/(1+$B7)^10,0)</f>
        <v>11188465.462361665</v>
      </c>
      <c r="G7" s="24">
        <f>IFERROR((Forecast!$B$17/(1+$B7)^(1-0.5)+Forecast!$C$17/(1+$B7)^(2-0.5)+Forecast!$D$17/(1+$B7)^(3-0.5)+Forecast!$E$17/(1+$B7)^(4-0.5)+Forecast!$F$17/(1+$B7)^(5-0.5)+Forecast!$G$17/(1+$B7)^(6-0.5)+Forecast!$H$17/(1+$B7)^(7-0.5)+Forecast!$I$17/(1+$B7)^(8-0.5)+Forecast!$J$17/(1+$B7)^(9-0.5)+Forecast!$K$17/(1+$B7)^(10-0.5))+Forecast!$K$17*(1+G$6)/($B7-G$6)/(1+$B7)^10,0)</f>
        <v>11862610.822173662</v>
      </c>
      <c r="H7" s="4"/>
    </row>
    <row r="8" spans="1:8">
      <c r="A8" s="4"/>
      <c r="B8" s="13">
        <v>9.5000000000000001E-2</v>
      </c>
      <c r="C8" s="24">
        <f>IFERROR((Forecast!$B$17/(1+$B8)^(1-0.5)+Forecast!$C$17/(1+$B8)^(2-0.5)+Forecast!$D$17/(1+$B8)^(3-0.5)+Forecast!$E$17/(1+$B8)^(4-0.5)+Forecast!$F$17/(1+$B8)^(5-0.5)+Forecast!$G$17/(1+$B8)^(6-0.5)+Forecast!$H$17/(1+$B8)^(7-0.5)+Forecast!$I$17/(1+$B8)^(8-0.5)+Forecast!$J$17/(1+$B8)^(9-0.5)+Forecast!$K$17/(1+$B8)^(10-0.5))+Forecast!$K$17*(1+C$6)/($B8-C$6)/(1+$B8)^10,0)</f>
        <v>9022248.1888604257</v>
      </c>
      <c r="D8" s="24">
        <f>IFERROR((Forecast!$B$17/(1+$B8)^(1-0.5)+Forecast!$C$17/(1+$B8)^(2-0.5)+Forecast!$D$17/(1+$B8)^(3-0.5)+Forecast!$E$17/(1+$B8)^(4-0.5)+Forecast!$F$17/(1+$B8)^(5-0.5)+Forecast!$G$17/(1+$B8)^(6-0.5)+Forecast!$H$17/(1+$B8)^(7-0.5)+Forecast!$I$17/(1+$B8)^(8-0.5)+Forecast!$J$17/(1+$B8)^(9-0.5)+Forecast!$K$17/(1+$B8)^(10-0.5))+Forecast!$K$17*(1+D$6)/($B8-D$6)/(1+$B8)^10,0)</f>
        <v>9308733.2752514835</v>
      </c>
      <c r="E8" s="24">
        <f>IFERROR((Forecast!$B$17/(1+$B8)^(1-0.5)+Forecast!$C$17/(1+$B8)^(2-0.5)+Forecast!$D$17/(1+$B8)^(3-0.5)+Forecast!$E$17/(1+$B8)^(4-0.5)+Forecast!$F$17/(1+$B8)^(5-0.5)+Forecast!$G$17/(1+$B8)^(6-0.5)+Forecast!$H$17/(1+$B8)^(7-0.5)+Forecast!$I$17/(1+$B8)^(8-0.5)+Forecast!$J$17/(1+$B8)^(9-0.5)+Forecast!$K$17/(1+$B8)^(10-0.5))+Forecast!$K$17*(1+E$6)/($B8-E$6)/(1+$B8)^10,0)</f>
        <v>9647306.5591681879</v>
      </c>
      <c r="F8" s="24">
        <f>IFERROR((Forecast!$B$17/(1+$B8)^(1-0.5)+Forecast!$C$17/(1+$B8)^(2-0.5)+Forecast!$D$17/(1+$B8)^(3-0.5)+Forecast!$E$17/(1+$B8)^(4-0.5)+Forecast!$F$17/(1+$B8)^(5-0.5)+Forecast!$G$17/(1+$B8)^(6-0.5)+Forecast!$H$17/(1+$B8)^(7-0.5)+Forecast!$I$17/(1+$B8)^(8-0.5)+Forecast!$J$17/(1+$B8)^(9-0.5)+Forecast!$K$17/(1+$B8)^(10-0.5))+Forecast!$K$17*(1+F$6)/($B8-F$6)/(1+$B8)^10,0)</f>
        <v>10053594.499868233</v>
      </c>
      <c r="G8" s="24">
        <f>IFERROR((Forecast!$B$17/(1+$B8)^(1-0.5)+Forecast!$C$17/(1+$B8)^(2-0.5)+Forecast!$D$17/(1+$B8)^(3-0.5)+Forecast!$E$17/(1+$B8)^(4-0.5)+Forecast!$F$17/(1+$B8)^(5-0.5)+Forecast!$G$17/(1+$B8)^(6-0.5)+Forecast!$H$17/(1+$B8)^(7-0.5)+Forecast!$I$17/(1+$B8)^(8-0.5)+Forecast!$J$17/(1+$B8)^(9-0.5)+Forecast!$K$17/(1+$B8)^(10-0.5))+Forecast!$K$17*(1+G$6)/($B8-G$6)/(1+$B8)^10,0)</f>
        <v>10550168.649612732</v>
      </c>
      <c r="H8" s="4"/>
    </row>
    <row r="9" spans="1:8">
      <c r="A9" s="4"/>
      <c r="B9" s="13">
        <v>0.105</v>
      </c>
      <c r="C9" s="24">
        <f>IFERROR((Forecast!$B$17/(1+$B9)^(1-0.5)+Forecast!$C$17/(1+$B9)^(2-0.5)+Forecast!$D$17/(1+$B9)^(3-0.5)+Forecast!$E$17/(1+$B9)^(4-0.5)+Forecast!$F$17/(1+$B9)^(5-0.5)+Forecast!$G$17/(1+$B9)^(6-0.5)+Forecast!$H$17/(1+$B9)^(7-0.5)+Forecast!$I$17/(1+$B9)^(8-0.5)+Forecast!$J$17/(1+$B9)^(9-0.5)+Forecast!$K$17/(1+$B9)^(10-0.5))+Forecast!$K$17*(1+C$6)/($B9-C$6)/(1+$B9)^10,0)</f>
        <v>8327282.6794654801</v>
      </c>
      <c r="D9" s="24">
        <f>IFERROR((Forecast!$B$17/(1+$B9)^(1-0.5)+Forecast!$C$17/(1+$B9)^(2-0.5)+Forecast!$D$17/(1+$B9)^(3-0.5)+Forecast!$E$17/(1+$B9)^(4-0.5)+Forecast!$F$17/(1+$B9)^(5-0.5)+Forecast!$G$17/(1+$B9)^(6-0.5)+Forecast!$H$17/(1+$B9)^(7-0.5)+Forecast!$I$17/(1+$B9)^(8-0.5)+Forecast!$J$17/(1+$B9)^(9-0.5)+Forecast!$K$17/(1+$B9)^(10-0.5))+Forecast!$K$17*(1+D$6)/($B9-D$6)/(1+$B9)^10,0)</f>
        <v>8553549.9820527807</v>
      </c>
      <c r="E9" s="24">
        <f>IFERROR((Forecast!$B$17/(1+$B9)^(1-0.5)+Forecast!$C$17/(1+$B9)^(2-0.5)+Forecast!$D$17/(1+$B9)^(3-0.5)+Forecast!$E$17/(1+$B9)^(4-0.5)+Forecast!$F$17/(1+$B9)^(5-0.5)+Forecast!$G$17/(1+$B9)^(6-0.5)+Forecast!$H$17/(1+$B9)^(7-0.5)+Forecast!$I$17/(1+$B9)^(8-0.5)+Forecast!$J$17/(1+$B9)^(9-0.5)+Forecast!$K$17/(1+$B9)^(10-0.5))+Forecast!$K$17*(1+E$6)/($B9-E$6)/(1+$B9)^10,0)</f>
        <v>8817528.5017379634</v>
      </c>
      <c r="F9" s="24">
        <f>IFERROR((Forecast!$B$17/(1+$B9)^(1-0.5)+Forecast!$C$17/(1+$B9)^(2-0.5)+Forecast!$D$17/(1+$B9)^(3-0.5)+Forecast!$E$17/(1+$B9)^(4-0.5)+Forecast!$F$17/(1+$B9)^(5-0.5)+Forecast!$G$17/(1+$B9)^(6-0.5)+Forecast!$H$17/(1+$B9)^(7-0.5)+Forecast!$I$17/(1+$B9)^(8-0.5)+Forecast!$J$17/(1+$B9)^(9-0.5)+Forecast!$K$17/(1+$B9)^(10-0.5))+Forecast!$K$17*(1+F$6)/($B9-F$6)/(1+$B9)^10,0)</f>
        <v>9129503.1159113627</v>
      </c>
      <c r="G9" s="24">
        <f>IFERROR((Forecast!$B$17/(1+$B9)^(1-0.5)+Forecast!$C$17/(1+$B9)^(2-0.5)+Forecast!$D$17/(1+$B9)^(3-0.5)+Forecast!$E$17/(1+$B9)^(4-0.5)+Forecast!$F$17/(1+$B9)^(5-0.5)+Forecast!$G$17/(1+$B9)^(6-0.5)+Forecast!$H$17/(1+$B9)^(7-0.5)+Forecast!$I$17/(1+$B9)^(8-0.5)+Forecast!$J$17/(1+$B9)^(9-0.5)+Forecast!$K$17/(1+$B9)^(10-0.5))+Forecast!$K$17*(1+G$6)/($B9-G$6)/(1+$B9)^10,0)</f>
        <v>9503872.6529194415</v>
      </c>
      <c r="H9" s="4"/>
    </row>
    <row r="10" spans="1:8">
      <c r="A10" s="4"/>
      <c r="B10" s="13">
        <v>0.115</v>
      </c>
      <c r="C10" s="24">
        <f>IFERROR((Forecast!$B$17/(1+$B10)^(1-0.5)+Forecast!$C$17/(1+$B10)^(2-0.5)+Forecast!$D$17/(1+$B10)^(3-0.5)+Forecast!$E$17/(1+$B10)^(4-0.5)+Forecast!$F$17/(1+$B10)^(5-0.5)+Forecast!$G$17/(1+$B10)^(6-0.5)+Forecast!$H$17/(1+$B10)^(7-0.5)+Forecast!$I$17/(1+$B10)^(8-0.5)+Forecast!$J$17/(1+$B10)^(9-0.5)+Forecast!$K$17/(1+$B10)^(10-0.5))+Forecast!$K$17*(1+C$6)/($B10-C$6)/(1+$B10)^10,0)</f>
        <v>7730129.6827998236</v>
      </c>
      <c r="D10" s="24">
        <f>IFERROR((Forecast!$B$17/(1+$B10)^(1-0.5)+Forecast!$C$17/(1+$B10)^(2-0.5)+Forecast!$D$17/(1+$B10)^(3-0.5)+Forecast!$E$17/(1+$B10)^(4-0.5)+Forecast!$F$17/(1+$B10)^(5-0.5)+Forecast!$G$17/(1+$B10)^(6-0.5)+Forecast!$H$17/(1+$B10)^(7-0.5)+Forecast!$I$17/(1+$B10)^(8-0.5)+Forecast!$J$17/(1+$B10)^(9-0.5)+Forecast!$K$17/(1+$B10)^(10-0.5))+Forecast!$K$17*(1+D$6)/($B10-D$6)/(1+$B10)^10,0)</f>
        <v>7910955.5632972261</v>
      </c>
      <c r="E10" s="24">
        <f>IFERROR((Forecast!$B$17/(1+$B10)^(1-0.5)+Forecast!$C$17/(1+$B10)^(2-0.5)+Forecast!$D$17/(1+$B10)^(3-0.5)+Forecast!$E$17/(1+$B10)^(4-0.5)+Forecast!$F$17/(1+$B10)^(5-0.5)+Forecast!$G$17/(1+$B10)^(6-0.5)+Forecast!$H$17/(1+$B10)^(7-0.5)+Forecast!$I$17/(1+$B10)^(8-0.5)+Forecast!$J$17/(1+$B10)^(9-0.5)+Forecast!$K$17/(1+$B10)^(10-0.5))+Forecast!$K$17*(1+E$6)/($B10-E$6)/(1+$B10)^10,0)</f>
        <v>8119600.8100249991</v>
      </c>
      <c r="F10" s="24">
        <f>IFERROR((Forecast!$B$17/(1+$B10)^(1-0.5)+Forecast!$C$17/(1+$B10)^(2-0.5)+Forecast!$D$17/(1+$B10)^(3-0.5)+Forecast!$E$17/(1+$B10)^(4-0.5)+Forecast!$F$17/(1+$B10)^(5-0.5)+Forecast!$G$17/(1+$B10)^(6-0.5)+Forecast!$H$17/(1+$B10)^(7-0.5)+Forecast!$I$17/(1+$B10)^(8-0.5)+Forecast!$J$17/(1+$B10)^(9-0.5)+Forecast!$K$17/(1+$B10)^(10-0.5))+Forecast!$K$17*(1+F$6)/($B10-F$6)/(1+$B10)^10,0)</f>
        <v>8363020.2645407328</v>
      </c>
      <c r="G10" s="24">
        <f>IFERROR((Forecast!$B$17/(1+$B10)^(1-0.5)+Forecast!$C$17/(1+$B10)^(2-0.5)+Forecast!$D$17/(1+$B10)^(3-0.5)+Forecast!$E$17/(1+$B10)^(4-0.5)+Forecast!$F$17/(1+$B10)^(5-0.5)+Forecast!$G$17/(1+$B10)^(6-0.5)+Forecast!$H$17/(1+$B10)^(7-0.5)+Forecast!$I$17/(1+$B10)^(8-0.5)+Forecast!$J$17/(1+$B10)^(9-0.5)+Forecast!$K$17/(1+$B10)^(10-0.5))+Forecast!$K$17*(1+G$6)/($B10-G$6)/(1+$B10)^10,0)</f>
        <v>8650697.8016956914</v>
      </c>
      <c r="H10" s="4"/>
    </row>
    <row r="11" spans="1:8">
      <c r="A11" s="4"/>
      <c r="B11" s="13">
        <v>0.125</v>
      </c>
      <c r="C11" s="24">
        <f>IFERROR((Forecast!$B$17/(1+$B11)^(1-0.5)+Forecast!$C$17/(1+$B11)^(2-0.5)+Forecast!$D$17/(1+$B11)^(3-0.5)+Forecast!$E$17/(1+$B11)^(4-0.5)+Forecast!$F$17/(1+$B11)^(5-0.5)+Forecast!$G$17/(1+$B11)^(6-0.5)+Forecast!$H$17/(1+$B11)^(7-0.5)+Forecast!$I$17/(1+$B11)^(8-0.5)+Forecast!$J$17/(1+$B11)^(9-0.5)+Forecast!$K$17/(1+$B11)^(10-0.5))+Forecast!$K$17*(1+C$6)/($B11-C$6)/(1+$B11)^10,0)</f>
        <v>7211986.1644749967</v>
      </c>
      <c r="D11" s="24">
        <f>IFERROR((Forecast!$B$17/(1+$B11)^(1-0.5)+Forecast!$C$17/(1+$B11)^(2-0.5)+Forecast!$D$17/(1+$B11)^(3-0.5)+Forecast!$E$17/(1+$B11)^(4-0.5)+Forecast!$F$17/(1+$B11)^(5-0.5)+Forecast!$G$17/(1+$B11)^(6-0.5)+Forecast!$H$17/(1+$B11)^(7-0.5)+Forecast!$I$17/(1+$B11)^(8-0.5)+Forecast!$J$17/(1+$B11)^(9-0.5)+Forecast!$K$17/(1+$B11)^(10-0.5))+Forecast!$K$17*(1+D$6)/($B11-D$6)/(1+$B11)^10,0)</f>
        <v>7357991.8426752621</v>
      </c>
      <c r="E11" s="24">
        <f>IFERROR((Forecast!$B$17/(1+$B11)^(1-0.5)+Forecast!$C$17/(1+$B11)^(2-0.5)+Forecast!$D$17/(1+$B11)^(3-0.5)+Forecast!$E$17/(1+$B11)^(4-0.5)+Forecast!$F$17/(1+$B11)^(5-0.5)+Forecast!$G$17/(1+$B11)^(6-0.5)+Forecast!$H$17/(1+$B11)^(7-0.5)+Forecast!$I$17/(1+$B11)^(8-0.5)+Forecast!$J$17/(1+$B11)^(9-0.5)+Forecast!$K$17/(1+$B11)^(10-0.5))+Forecast!$K$17*(1+E$6)/($B11-E$6)/(1+$B11)^10,0)</f>
        <v>7524855.4749041367</v>
      </c>
      <c r="F11" s="24">
        <f>IFERROR((Forecast!$B$17/(1+$B11)^(1-0.5)+Forecast!$C$17/(1+$B11)^(2-0.5)+Forecast!$D$17/(1+$B11)^(3-0.5)+Forecast!$E$17/(1+$B11)^(4-0.5)+Forecast!$F$17/(1+$B11)^(5-0.5)+Forecast!$G$17/(1+$B11)^(6-0.5)+Forecast!$H$17/(1+$B11)^(7-0.5)+Forecast!$I$17/(1+$B11)^(8-0.5)+Forecast!$J$17/(1+$B11)^(9-0.5)+Forecast!$K$17/(1+$B11)^(10-0.5))+Forecast!$K$17*(1+F$6)/($B11-F$6)/(1+$B11)^10,0)</f>
        <v>7717390.4351682216</v>
      </c>
      <c r="G11" s="24">
        <f>IFERROR((Forecast!$B$17/(1+$B11)^(1-0.5)+Forecast!$C$17/(1+$B11)^(2-0.5)+Forecast!$D$17/(1+$B11)^(3-0.5)+Forecast!$E$17/(1+$B11)^(4-0.5)+Forecast!$F$17/(1+$B11)^(5-0.5)+Forecast!$G$17/(1+$B11)^(6-0.5)+Forecast!$H$17/(1+$B11)^(7-0.5)+Forecast!$I$17/(1+$B11)^(8-0.5)+Forecast!$J$17/(1+$B11)^(9-0.5)+Forecast!$K$17/(1+$B11)^(10-0.5))+Forecast!$K$17*(1+G$6)/($B11-G$6)/(1+$B11)^10,0)</f>
        <v>7942014.5554763228</v>
      </c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 s="34" customFormat="1">
      <c r="A13" s="33"/>
      <c r="B13" s="33"/>
      <c r="C13" s="33"/>
      <c r="D13" s="33"/>
      <c r="E13" s="33"/>
      <c r="F13" s="33"/>
      <c r="G13" s="33"/>
      <c r="H13" s="33"/>
    </row>
    <row r="14" spans="1:8" s="34" customFormat="1">
      <c r="A14" s="37" t="s">
        <v>151</v>
      </c>
      <c r="B14" s="37"/>
      <c r="C14" s="37"/>
      <c r="D14" s="37"/>
      <c r="E14" s="37"/>
      <c r="F14" s="37"/>
      <c r="G14" s="37"/>
      <c r="H14" s="37"/>
    </row>
    <row r="15" spans="1:8" s="34" customFormat="1">
      <c r="A15" s="33"/>
      <c r="B15" s="33"/>
      <c r="C15" s="33"/>
      <c r="D15" s="33"/>
      <c r="E15" s="33"/>
      <c r="F15" s="33"/>
      <c r="G15" s="33"/>
      <c r="H15" s="33"/>
    </row>
    <row r="16" spans="1:8">
      <c r="A16" s="4" t="s">
        <v>152</v>
      </c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14">
        <v>8</v>
      </c>
      <c r="D17" s="14">
        <v>9</v>
      </c>
      <c r="E17" s="14">
        <v>10</v>
      </c>
      <c r="F17" s="14">
        <v>11</v>
      </c>
      <c r="G17" s="14">
        <v>12</v>
      </c>
      <c r="H17" s="4"/>
    </row>
    <row r="18" spans="1:8">
      <c r="A18" s="4"/>
      <c r="B18" s="14">
        <v>9</v>
      </c>
      <c r="C18" s="24">
        <f>Forecast!$K$21*C$17*(1-Assumptions!$B$23)-MAX(0,Historical!$D$19*$B18*Assumptions!$B$19*(1-10*Assumptions!$B$21))</f>
        <v>7584484.7063104473</v>
      </c>
      <c r="D18" s="24">
        <f>Forecast!$K$21*D$17*(1-Assumptions!$B$23)-MAX(0,Historical!$D$19*$B18*Assumptions!$B$19*(1-10*Assumptions!$B$21))</f>
        <v>8906140.9195992537</v>
      </c>
      <c r="E18" s="24">
        <f>Forecast!$K$21*E$17*(1-Assumptions!$B$23)-MAX(0,Historical!$D$19*$B18*Assumptions!$B$19*(1-10*Assumptions!$B$21))</f>
        <v>10227797.13288806</v>
      </c>
      <c r="F18" s="24">
        <f>Forecast!$K$21*F$17*(1-Assumptions!$B$23)-MAX(0,Historical!$D$19*$B18*Assumptions!$B$19*(1-10*Assumptions!$B$21))</f>
        <v>11549453.346176865</v>
      </c>
      <c r="G18" s="24">
        <f>Forecast!$K$21*G$17*(1-Assumptions!$B$23)-MAX(0,Historical!$D$19*$B18*Assumptions!$B$19*(1-10*Assumptions!$B$21))</f>
        <v>12871109.559465671</v>
      </c>
      <c r="H18" s="4"/>
    </row>
    <row r="19" spans="1:8">
      <c r="A19" s="4"/>
      <c r="B19" s="14">
        <v>10</v>
      </c>
      <c r="C19" s="24">
        <f>Forecast!$K$21*C$17*(1-Assumptions!$B$23)-MAX(0,Historical!$D$19*$B19*Assumptions!$B$19*(1-10*Assumptions!$B$21))</f>
        <v>7252399.7063104473</v>
      </c>
      <c r="D19" s="24">
        <f>Forecast!$K$21*D$17*(1-Assumptions!$B$23)-MAX(0,Historical!$D$19*$B19*Assumptions!$B$19*(1-10*Assumptions!$B$21))</f>
        <v>8574055.9195992537</v>
      </c>
      <c r="E19" s="24">
        <f>Forecast!$K$21*E$17*(1-Assumptions!$B$23)-MAX(0,Historical!$D$19*$B19*Assumptions!$B$19*(1-10*Assumptions!$B$21))</f>
        <v>9895712.1328880601</v>
      </c>
      <c r="F19" s="24">
        <f>Forecast!$K$21*F$17*(1-Assumptions!$B$23)-MAX(0,Historical!$D$19*$B19*Assumptions!$B$19*(1-10*Assumptions!$B$21))</f>
        <v>11217368.346176865</v>
      </c>
      <c r="G19" s="24">
        <f>Forecast!$K$21*G$17*(1-Assumptions!$B$23)-MAX(0,Historical!$D$19*$B19*Assumptions!$B$19*(1-10*Assumptions!$B$21))</f>
        <v>12539024.559465671</v>
      </c>
      <c r="H19" s="4"/>
    </row>
    <row r="20" spans="1:8">
      <c r="A20" s="4"/>
      <c r="B20" s="14">
        <v>11</v>
      </c>
      <c r="C20" s="24">
        <f>Forecast!$K$21*C$17*(1-Assumptions!$B$23)-MAX(0,Historical!$D$19*$B20*Assumptions!$B$19*(1-10*Assumptions!$B$21))</f>
        <v>6920314.7063104473</v>
      </c>
      <c r="D20" s="24">
        <f>Forecast!$K$21*D$17*(1-Assumptions!$B$23)-MAX(0,Historical!$D$19*$B20*Assumptions!$B$19*(1-10*Assumptions!$B$21))</f>
        <v>8241970.9195992537</v>
      </c>
      <c r="E20" s="24">
        <f>Forecast!$K$21*E$17*(1-Assumptions!$B$23)-MAX(0,Historical!$D$19*$B20*Assumptions!$B$19*(1-10*Assumptions!$B$21))</f>
        <v>9563627.1328880601</v>
      </c>
      <c r="F20" s="24">
        <f>Forecast!$K$21*F$17*(1-Assumptions!$B$23)-MAX(0,Historical!$D$19*$B20*Assumptions!$B$19*(1-10*Assumptions!$B$21))</f>
        <v>10885283.346176865</v>
      </c>
      <c r="G20" s="24">
        <f>Forecast!$K$21*G$17*(1-Assumptions!$B$23)-MAX(0,Historical!$D$19*$B20*Assumptions!$B$19*(1-10*Assumptions!$B$21))</f>
        <v>12206939.559465671</v>
      </c>
      <c r="H20" s="4"/>
    </row>
    <row r="21" spans="1:8">
      <c r="A21" s="4"/>
      <c r="B21" s="14">
        <v>12</v>
      </c>
      <c r="C21" s="24">
        <f>Forecast!$K$21*C$17*(1-Assumptions!$B$23)-MAX(0,Historical!$D$19*$B21*Assumptions!$B$19*(1-10*Assumptions!$B$21))</f>
        <v>6588229.7063104473</v>
      </c>
      <c r="D21" s="24">
        <f>Forecast!$K$21*D$17*(1-Assumptions!$B$23)-MAX(0,Historical!$D$19*$B21*Assumptions!$B$19*(1-10*Assumptions!$B$21))</f>
        <v>7909885.9195992537</v>
      </c>
      <c r="E21" s="24">
        <f>Forecast!$K$21*E$17*(1-Assumptions!$B$23)-MAX(0,Historical!$D$19*$B21*Assumptions!$B$19*(1-10*Assumptions!$B$21))</f>
        <v>9231542.1328880601</v>
      </c>
      <c r="F21" s="24">
        <f>Forecast!$K$21*F$17*(1-Assumptions!$B$23)-MAX(0,Historical!$D$19*$B21*Assumptions!$B$19*(1-10*Assumptions!$B$21))</f>
        <v>10553198.346176865</v>
      </c>
      <c r="G21" s="24">
        <f>Forecast!$K$21*G$17*(1-Assumptions!$B$23)-MAX(0,Historical!$D$19*$B21*Assumptions!$B$19*(1-10*Assumptions!$B$21))</f>
        <v>11874854.559465671</v>
      </c>
      <c r="H21" s="4"/>
    </row>
    <row r="22" spans="1:8">
      <c r="A22" s="4"/>
      <c r="B22" s="14">
        <v>13</v>
      </c>
      <c r="C22" s="24">
        <f>Forecast!$K$21*C$17*(1-Assumptions!$B$23)-MAX(0,Historical!$D$19*$B22*Assumptions!$B$19*(1-10*Assumptions!$B$21))</f>
        <v>6256144.7063104473</v>
      </c>
      <c r="D22" s="24">
        <f>Forecast!$K$21*D$17*(1-Assumptions!$B$23)-MAX(0,Historical!$D$19*$B22*Assumptions!$B$19*(1-10*Assumptions!$B$21))</f>
        <v>7577800.9195992537</v>
      </c>
      <c r="E22" s="24">
        <f>Forecast!$K$21*E$17*(1-Assumptions!$B$23)-MAX(0,Historical!$D$19*$B22*Assumptions!$B$19*(1-10*Assumptions!$B$21))</f>
        <v>8899457.1328880601</v>
      </c>
      <c r="F22" s="24">
        <f>Forecast!$K$21*F$17*(1-Assumptions!$B$23)-MAX(0,Historical!$D$19*$B22*Assumptions!$B$19*(1-10*Assumptions!$B$21))</f>
        <v>10221113.346176865</v>
      </c>
      <c r="G22" s="24">
        <f>Forecast!$K$21*G$17*(1-Assumptions!$B$23)-MAX(0,Historical!$D$19*$B22*Assumptions!$B$19*(1-10*Assumptions!$B$21))</f>
        <v>11542769.559465671</v>
      </c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 t="s">
        <v>153</v>
      </c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topLeftCell="A15" workbookViewId="0">
      <selection activeCell="A19" sqref="A19"/>
    </sheetView>
  </sheetViews>
  <sheetFormatPr defaultRowHeight="14"/>
  <cols>
    <col min="1" max="1" width="38" customWidth="1"/>
    <col min="2" max="2" width="35" customWidth="1"/>
    <col min="3" max="8" width="17" customWidth="1"/>
  </cols>
  <sheetData>
    <row r="1" spans="1:8" s="34" customFormat="1" ht="17.5">
      <c r="A1" s="54" t="s">
        <v>154</v>
      </c>
      <c r="B1" s="54"/>
      <c r="C1" s="54"/>
      <c r="D1" s="54"/>
      <c r="E1" s="54"/>
      <c r="F1" s="54"/>
      <c r="G1" s="54"/>
      <c r="H1" s="54"/>
    </row>
    <row r="2" spans="1:8" s="34" customFormat="1">
      <c r="A2" s="55" t="s">
        <v>155</v>
      </c>
      <c r="B2" s="55"/>
      <c r="C2" s="55"/>
      <c r="D2" s="55"/>
      <c r="E2" s="55"/>
      <c r="F2" s="55"/>
      <c r="G2" s="55"/>
      <c r="H2" s="55"/>
    </row>
    <row r="3" spans="1:8" s="34" customFormat="1">
      <c r="A3" s="33"/>
      <c r="B3" s="33"/>
      <c r="C3" s="33"/>
      <c r="D3" s="33"/>
      <c r="E3" s="33"/>
      <c r="F3" s="33"/>
      <c r="G3" s="33"/>
      <c r="H3" s="33"/>
    </row>
    <row r="4" spans="1:8" s="34" customFormat="1">
      <c r="A4" s="37" t="s">
        <v>156</v>
      </c>
      <c r="B4" s="37"/>
      <c r="C4" s="37"/>
      <c r="D4" s="37"/>
      <c r="E4" s="37"/>
      <c r="F4" s="37"/>
      <c r="G4" s="37"/>
      <c r="H4" s="37"/>
    </row>
    <row r="5" spans="1:8" s="34" customFormat="1">
      <c r="A5" s="33"/>
      <c r="B5" s="33"/>
      <c r="C5" s="33"/>
      <c r="D5" s="33"/>
      <c r="E5" s="33"/>
      <c r="F5" s="33"/>
      <c r="G5" s="33"/>
      <c r="H5" s="33"/>
    </row>
    <row r="6" spans="1:8">
      <c r="A6" s="4" t="s">
        <v>157</v>
      </c>
      <c r="B6" s="4" t="str">
        <f>Assumptions!B42</f>
        <v>Mixed rights (illustrative)</v>
      </c>
      <c r="C6" s="4"/>
      <c r="D6" s="4"/>
      <c r="E6" s="4"/>
      <c r="F6" s="4"/>
      <c r="G6" s="4"/>
      <c r="H6" s="4"/>
    </row>
    <row r="7" spans="1:8">
      <c r="A7" s="4" t="s">
        <v>158</v>
      </c>
      <c r="B7" s="10">
        <f>Assumptions!B43</f>
        <v>1</v>
      </c>
      <c r="C7" s="4"/>
      <c r="D7" s="4"/>
      <c r="E7" s="4"/>
      <c r="F7" s="4"/>
      <c r="G7" s="4"/>
      <c r="H7" s="4"/>
    </row>
    <row r="8" spans="1:8">
      <c r="A8" s="4" t="s">
        <v>159</v>
      </c>
      <c r="B8" s="9">
        <f>Historical!D10</f>
        <v>1310000</v>
      </c>
      <c r="C8" s="4"/>
      <c r="D8" s="4"/>
      <c r="E8" s="4"/>
      <c r="F8" s="4"/>
      <c r="G8" s="4"/>
      <c r="H8" s="4"/>
    </row>
    <row r="9" spans="1:8">
      <c r="A9" s="4" t="s">
        <v>160</v>
      </c>
      <c r="B9" s="9">
        <f>SUM(Historical!D13:D14)</f>
        <v>-203050</v>
      </c>
      <c r="C9" s="4"/>
      <c r="D9" s="4"/>
      <c r="E9" s="4"/>
      <c r="F9" s="4"/>
      <c r="G9" s="4"/>
      <c r="H9" s="4"/>
    </row>
    <row r="10" spans="1:8">
      <c r="A10" s="4" t="s">
        <v>161</v>
      </c>
      <c r="B10" s="9">
        <f>Historical!D19</f>
        <v>1106950</v>
      </c>
      <c r="C10" s="4"/>
      <c r="D10" s="4"/>
      <c r="E10" s="4"/>
      <c r="F10" s="4"/>
      <c r="G10" s="4"/>
      <c r="H10" s="4"/>
    </row>
    <row r="11" spans="1:8">
      <c r="A11" s="4" t="s">
        <v>162</v>
      </c>
      <c r="B11" s="9">
        <f>B10*B7</f>
        <v>1106950</v>
      </c>
      <c r="C11" s="4"/>
      <c r="D11" s="4"/>
      <c r="E11" s="4"/>
      <c r="F11" s="4"/>
      <c r="G11" s="4"/>
      <c r="H11" s="4"/>
    </row>
    <row r="12" spans="1:8">
      <c r="A12" s="4" t="s">
        <v>163</v>
      </c>
      <c r="B12" s="9">
        <f>Historical!D17</f>
        <v>830212.5</v>
      </c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 t="s">
        <v>164</v>
      </c>
      <c r="B14" s="4" t="s">
        <v>165</v>
      </c>
      <c r="C14" s="4"/>
      <c r="D14" s="4"/>
      <c r="E14" s="4"/>
      <c r="F14" s="4"/>
      <c r="G14" s="4"/>
      <c r="H14" s="4"/>
    </row>
    <row r="15" spans="1:8">
      <c r="A15" s="4" t="s">
        <v>166</v>
      </c>
      <c r="B15" s="4" t="s">
        <v>167</v>
      </c>
      <c r="C15" s="4"/>
      <c r="D15" s="4"/>
      <c r="E15" s="4"/>
      <c r="F15" s="4"/>
      <c r="G15" s="4"/>
      <c r="H15" s="4"/>
    </row>
    <row r="16" spans="1:8">
      <c r="A16" s="4" t="s">
        <v>168</v>
      </c>
      <c r="B16" s="4" t="s">
        <v>169</v>
      </c>
      <c r="C16" s="4"/>
      <c r="D16" s="4"/>
      <c r="E16" s="4"/>
      <c r="F16" s="4"/>
      <c r="G16" s="4"/>
      <c r="H16" s="4"/>
    </row>
    <row r="17" spans="1:8">
      <c r="A17" s="4" t="s">
        <v>170</v>
      </c>
      <c r="B17" s="4" t="s">
        <v>171</v>
      </c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 s="34" customFormat="1">
      <c r="A19" s="33"/>
      <c r="B19" s="33"/>
      <c r="C19" s="33"/>
      <c r="D19" s="33"/>
      <c r="E19" s="33"/>
      <c r="F19" s="33"/>
      <c r="G19" s="33"/>
      <c r="H19" s="33"/>
    </row>
    <row r="20" spans="1:8" s="34" customFormat="1">
      <c r="A20" s="37" t="s">
        <v>172</v>
      </c>
      <c r="B20" s="37"/>
      <c r="C20" s="37"/>
      <c r="D20" s="37"/>
      <c r="E20" s="37"/>
      <c r="F20" s="37"/>
      <c r="G20" s="37"/>
      <c r="H20" s="37"/>
    </row>
    <row r="21" spans="1:8" s="34" customFormat="1">
      <c r="A21" s="33"/>
      <c r="B21" s="33"/>
      <c r="C21" s="33"/>
      <c r="D21" s="33"/>
      <c r="E21" s="33"/>
      <c r="F21" s="33"/>
      <c r="G21" s="33"/>
      <c r="H21" s="33"/>
    </row>
    <row r="22" spans="1:8">
      <c r="A22" s="4" t="s">
        <v>80</v>
      </c>
      <c r="B22" s="9">
        <f>Historical!D5</f>
        <v>780000</v>
      </c>
      <c r="C22" s="10">
        <f>IFERROR(B22/$B$8,0)</f>
        <v>0.59541984732824427</v>
      </c>
      <c r="D22" s="4"/>
      <c r="E22" s="4"/>
      <c r="F22" s="4"/>
      <c r="G22" s="4"/>
      <c r="H22" s="4"/>
    </row>
    <row r="23" spans="1:8">
      <c r="A23" s="4" t="s">
        <v>81</v>
      </c>
      <c r="B23" s="9">
        <f>Historical!D6</f>
        <v>210000</v>
      </c>
      <c r="C23" s="10">
        <f>IFERROR(B23/$B$8,0)</f>
        <v>0.16030534351145037</v>
      </c>
      <c r="D23" s="4"/>
      <c r="E23" s="4"/>
      <c r="F23" s="4"/>
      <c r="G23" s="4"/>
      <c r="H23" s="4"/>
    </row>
    <row r="24" spans="1:8">
      <c r="A24" s="4" t="s">
        <v>82</v>
      </c>
      <c r="B24" s="9">
        <f>Historical!D7</f>
        <v>110000</v>
      </c>
      <c r="C24" s="10">
        <f>IFERROR(B24/$B$8,0)</f>
        <v>8.3969465648854963E-2</v>
      </c>
      <c r="D24" s="4"/>
      <c r="E24" s="4"/>
      <c r="F24" s="4"/>
      <c r="G24" s="4"/>
      <c r="H24" s="4"/>
    </row>
    <row r="25" spans="1:8">
      <c r="A25" s="4" t="s">
        <v>173</v>
      </c>
      <c r="B25" s="9">
        <f>Historical!D8</f>
        <v>160000</v>
      </c>
      <c r="C25" s="10">
        <f>IFERROR(B25/$B$8,0)</f>
        <v>0.12213740458015267</v>
      </c>
      <c r="D25" s="4"/>
      <c r="E25" s="4"/>
      <c r="F25" s="4"/>
      <c r="G25" s="4"/>
      <c r="H25" s="4"/>
    </row>
    <row r="26" spans="1:8">
      <c r="A26" s="4" t="s">
        <v>84</v>
      </c>
      <c r="B26" s="9">
        <f>Historical!D9</f>
        <v>50000</v>
      </c>
      <c r="C26" s="10">
        <f>IFERROR(B26/$B$8,0)</f>
        <v>3.8167938931297711E-2</v>
      </c>
      <c r="D26" s="4"/>
      <c r="E26" s="4"/>
      <c r="F26" s="4"/>
      <c r="G26" s="4"/>
      <c r="H26" s="4"/>
    </row>
    <row r="27" spans="1:8">
      <c r="A27" s="25" t="s">
        <v>174</v>
      </c>
      <c r="B27" s="26">
        <f>SUM(B22:B26)</f>
        <v>1310000</v>
      </c>
      <c r="C27" s="28">
        <f>SUM(C22:C26)</f>
        <v>1</v>
      </c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6"/>
  <sheetViews>
    <sheetView workbookViewId="0">
      <selection activeCell="B20" sqref="B20"/>
    </sheetView>
  </sheetViews>
  <sheetFormatPr defaultRowHeight="14"/>
  <cols>
    <col min="1" max="1" width="38" customWidth="1"/>
    <col min="2" max="6" width="17" customWidth="1"/>
  </cols>
  <sheetData>
    <row r="1" spans="1:8" s="34" customFormat="1" ht="17.5">
      <c r="A1" s="54" t="s">
        <v>175</v>
      </c>
      <c r="B1" s="54"/>
      <c r="C1" s="54"/>
      <c r="D1" s="54"/>
      <c r="E1" s="54"/>
      <c r="F1" s="54"/>
      <c r="G1" s="54"/>
      <c r="H1" s="54"/>
    </row>
    <row r="2" spans="1:8" s="34" customFormat="1">
      <c r="A2" s="33"/>
      <c r="B2" s="33"/>
      <c r="C2" s="33"/>
      <c r="D2" s="33"/>
      <c r="E2" s="33"/>
      <c r="F2" s="33"/>
      <c r="G2" s="33"/>
      <c r="H2" s="33"/>
    </row>
    <row r="3" spans="1:8" s="34" customFormat="1">
      <c r="A3" s="37" t="s">
        <v>176</v>
      </c>
      <c r="B3" s="37"/>
      <c r="C3" s="37"/>
      <c r="D3" s="37"/>
      <c r="E3" s="37"/>
      <c r="F3" s="37"/>
      <c r="G3" s="37"/>
      <c r="H3" s="37"/>
    </row>
    <row r="4" spans="1:8" s="34" customFormat="1">
      <c r="A4" s="33"/>
      <c r="B4" s="33"/>
      <c r="C4" s="33"/>
      <c r="D4" s="33"/>
      <c r="E4" s="33"/>
      <c r="F4" s="33"/>
      <c r="G4" s="33"/>
      <c r="H4" s="33"/>
    </row>
    <row r="5" spans="1:8">
      <c r="A5" s="4" t="s">
        <v>177</v>
      </c>
      <c r="B5" s="9">
        <f>Historical!D19*Assumptions!B43</f>
        <v>1106950</v>
      </c>
      <c r="C5" s="4"/>
      <c r="D5" s="4"/>
      <c r="E5" s="4"/>
      <c r="F5" s="4"/>
      <c r="G5" s="4"/>
      <c r="H5" s="4"/>
    </row>
    <row r="6" spans="1:8">
      <c r="A6" s="4" t="s">
        <v>178</v>
      </c>
      <c r="B6" s="11">
        <f>Assumptions!B44</f>
        <v>17</v>
      </c>
      <c r="C6" s="4"/>
      <c r="D6" s="4"/>
      <c r="E6" s="4"/>
      <c r="F6" s="4"/>
      <c r="G6" s="4"/>
      <c r="H6" s="4"/>
    </row>
    <row r="7" spans="1:8">
      <c r="A7" s="4" t="s">
        <v>179</v>
      </c>
      <c r="B7" s="9">
        <f>B5*B6</f>
        <v>18818150</v>
      </c>
      <c r="C7" s="4"/>
      <c r="D7" s="4"/>
      <c r="E7" s="4"/>
      <c r="F7" s="4"/>
      <c r="G7" s="4"/>
      <c r="H7" s="4"/>
    </row>
    <row r="8" spans="1:8">
      <c r="A8" s="4" t="s">
        <v>180</v>
      </c>
      <c r="B8" s="9">
        <f>B7*Assumptions!B48</f>
        <v>282272.25</v>
      </c>
      <c r="C8" s="4"/>
      <c r="D8" s="4"/>
      <c r="E8" s="4"/>
      <c r="F8" s="4"/>
      <c r="G8" s="4"/>
      <c r="H8" s="4"/>
    </row>
    <row r="9" spans="1:8" s="34" customFormat="1">
      <c r="A9" s="56" t="s">
        <v>181</v>
      </c>
      <c r="B9" s="57">
        <f>SUM(B7:B8)</f>
        <v>19100422.25</v>
      </c>
      <c r="C9" s="33"/>
      <c r="D9" s="33"/>
      <c r="E9" s="33"/>
      <c r="F9" s="33"/>
      <c r="G9" s="33"/>
      <c r="H9" s="33"/>
    </row>
    <row r="10" spans="1:8" s="34" customFormat="1">
      <c r="A10" s="56"/>
      <c r="B10" s="57"/>
      <c r="C10" s="33"/>
      <c r="D10" s="33"/>
      <c r="E10" s="33"/>
      <c r="F10" s="33"/>
      <c r="G10" s="33"/>
      <c r="H10" s="33"/>
    </row>
    <row r="11" spans="1:8" s="34" customFormat="1">
      <c r="A11" s="56"/>
      <c r="B11" s="57"/>
      <c r="C11" s="33"/>
      <c r="D11" s="33"/>
      <c r="E11" s="33"/>
      <c r="F11" s="33"/>
      <c r="G11" s="33"/>
      <c r="H11" s="33"/>
    </row>
    <row r="12" spans="1:8" s="34" customFormat="1">
      <c r="A12" s="37" t="s">
        <v>182</v>
      </c>
      <c r="B12" s="37"/>
      <c r="C12" s="37"/>
      <c r="D12" s="37"/>
      <c r="E12" s="37"/>
      <c r="F12" s="37"/>
      <c r="G12" s="37"/>
      <c r="H12" s="37"/>
    </row>
    <row r="13" spans="1:8" s="34" customFormat="1">
      <c r="A13" s="33"/>
      <c r="B13" s="33"/>
      <c r="C13" s="33"/>
      <c r="D13" s="33"/>
      <c r="E13" s="33"/>
      <c r="F13" s="33"/>
      <c r="G13" s="33"/>
      <c r="H13" s="33"/>
    </row>
    <row r="14" spans="1:8">
      <c r="A14" s="4" t="s">
        <v>183</v>
      </c>
      <c r="B14" s="9">
        <f>B7*Assumptions!B46</f>
        <v>12231797.5</v>
      </c>
      <c r="C14" s="4"/>
      <c r="D14" s="4"/>
      <c r="E14" s="4"/>
      <c r="F14" s="4"/>
      <c r="G14" s="4"/>
      <c r="H14" s="4"/>
    </row>
    <row r="15" spans="1:8">
      <c r="A15" s="4" t="s">
        <v>184</v>
      </c>
      <c r="B15" s="9">
        <f>B9-B14</f>
        <v>6868624.75</v>
      </c>
      <c r="C15" s="4"/>
      <c r="D15" s="4"/>
      <c r="E15" s="4"/>
      <c r="F15" s="4"/>
      <c r="G15" s="4"/>
      <c r="H15" s="4"/>
    </row>
    <row r="16" spans="1:8">
      <c r="A16" s="25" t="s">
        <v>185</v>
      </c>
      <c r="B16" s="26">
        <f>SUM(B14:B15)</f>
        <v>19100422.25</v>
      </c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25" t="s">
        <v>186</v>
      </c>
      <c r="B18" s="26">
        <f>B16-B9</f>
        <v>0</v>
      </c>
      <c r="C18" s="4"/>
      <c r="D18" s="4"/>
      <c r="E18" s="4"/>
      <c r="F18" s="4"/>
      <c r="G18" s="4"/>
      <c r="H18" s="4"/>
    </row>
    <row r="19" spans="1:8" s="34" customFormat="1">
      <c r="A19" s="56"/>
      <c r="B19" s="57"/>
      <c r="C19" s="33"/>
      <c r="D19" s="33"/>
      <c r="E19" s="33"/>
      <c r="F19" s="33"/>
      <c r="G19" s="33"/>
      <c r="H19" s="33"/>
    </row>
    <row r="20" spans="1:8" s="34" customFormat="1">
      <c r="A20" s="33"/>
      <c r="B20" s="33"/>
      <c r="C20" s="33"/>
      <c r="D20" s="33"/>
      <c r="E20" s="33"/>
      <c r="F20" s="33"/>
      <c r="G20" s="33"/>
      <c r="H20" s="33"/>
    </row>
    <row r="21" spans="1:8" s="34" customFormat="1">
      <c r="A21" s="37" t="s">
        <v>187</v>
      </c>
      <c r="B21" s="37"/>
      <c r="C21" s="37"/>
      <c r="D21" s="37"/>
      <c r="E21" s="37"/>
      <c r="F21" s="37"/>
      <c r="G21" s="37"/>
      <c r="H21" s="37"/>
    </row>
    <row r="22" spans="1:8" s="34" customFormat="1">
      <c r="A22" s="33" t="s">
        <v>188</v>
      </c>
      <c r="B22" s="45">
        <f>IFERROR(B14/B7,0)</f>
        <v>0.65</v>
      </c>
      <c r="C22" s="33"/>
      <c r="D22" s="33"/>
      <c r="E22" s="33"/>
      <c r="F22" s="33"/>
      <c r="G22" s="33"/>
      <c r="H22" s="33"/>
    </row>
    <row r="23" spans="1:8">
      <c r="A23" s="4" t="s">
        <v>189</v>
      </c>
      <c r="B23" s="10">
        <f>IFERROR(B15/B9,0)</f>
        <v>0.35960591133004927</v>
      </c>
      <c r="C23" s="4"/>
      <c r="D23" s="4"/>
      <c r="E23" s="4"/>
      <c r="F23" s="4"/>
      <c r="G23" s="4"/>
      <c r="H23" s="4"/>
    </row>
    <row r="24" spans="1:8">
      <c r="A24" s="4" t="s">
        <v>190</v>
      </c>
      <c r="B24" s="10">
        <f>Assumptions!B47</f>
        <v>7.0000000000000007E-2</v>
      </c>
      <c r="C24" s="4"/>
      <c r="D24" s="4"/>
      <c r="E24" s="4"/>
      <c r="F24" s="4"/>
      <c r="G24" s="4"/>
      <c r="H24" s="4"/>
    </row>
    <row r="25" spans="1:8">
      <c r="A25" s="4" t="s">
        <v>191</v>
      </c>
      <c r="B25" s="11">
        <f>Assumptions!B44</f>
        <v>17</v>
      </c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 t="s">
        <v>192</v>
      </c>
      <c r="B28" s="4"/>
      <c r="C28" s="4"/>
      <c r="D28" s="4"/>
      <c r="E28" s="4"/>
      <c r="F28" s="4"/>
      <c r="G28" s="4"/>
      <c r="H28" s="4"/>
    </row>
    <row r="29" spans="1:8">
      <c r="A29" s="4" t="s">
        <v>193</v>
      </c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4"/>
  <sheetViews>
    <sheetView workbookViewId="0">
      <selection activeCell="A47" sqref="A47"/>
    </sheetView>
  </sheetViews>
  <sheetFormatPr defaultRowHeight="14"/>
  <cols>
    <col min="1" max="1" width="38" customWidth="1"/>
    <col min="2" max="8" width="17" customWidth="1"/>
  </cols>
  <sheetData>
    <row r="1" spans="1:8" s="34" customFormat="1" ht="17.5">
      <c r="A1" s="54" t="s">
        <v>194</v>
      </c>
      <c r="B1" s="54"/>
      <c r="C1" s="54"/>
      <c r="D1" s="54"/>
      <c r="E1" s="54"/>
      <c r="F1" s="54"/>
      <c r="G1" s="54"/>
      <c r="H1" s="54"/>
    </row>
    <row r="2" spans="1:8" s="34" customFormat="1">
      <c r="A2" s="33"/>
      <c r="B2" s="33"/>
      <c r="C2" s="33"/>
      <c r="D2" s="33"/>
      <c r="E2" s="33"/>
      <c r="F2" s="33"/>
      <c r="G2" s="33"/>
      <c r="H2" s="33"/>
    </row>
    <row r="3" spans="1:8" s="34" customFormat="1">
      <c r="A3" s="37" t="s">
        <v>195</v>
      </c>
      <c r="B3" s="37"/>
      <c r="C3" s="37"/>
      <c r="D3" s="37"/>
      <c r="E3" s="37"/>
      <c r="F3" s="37"/>
      <c r="G3" s="37"/>
      <c r="H3" s="37"/>
    </row>
    <row r="4" spans="1:8" s="34" customFormat="1">
      <c r="A4" s="33"/>
      <c r="B4" s="33"/>
      <c r="C4" s="33"/>
      <c r="D4" s="33"/>
      <c r="E4" s="33"/>
      <c r="F4" s="33"/>
      <c r="G4" s="33"/>
      <c r="H4" s="33"/>
    </row>
    <row r="5" spans="1:8">
      <c r="A5" s="4" t="s">
        <v>196</v>
      </c>
      <c r="B5" s="9">
        <f>'Sources &amp; Uses'!B5</f>
        <v>1106950</v>
      </c>
      <c r="C5" s="4"/>
      <c r="D5" s="4"/>
      <c r="E5" s="4"/>
      <c r="F5" s="4"/>
      <c r="G5" s="4"/>
      <c r="H5" s="4"/>
    </row>
    <row r="6" spans="1:8">
      <c r="A6" s="4" t="s">
        <v>191</v>
      </c>
      <c r="B6" s="11">
        <f>Assumptions!B44</f>
        <v>17</v>
      </c>
      <c r="C6" s="4"/>
      <c r="D6" s="4"/>
      <c r="E6" s="4"/>
      <c r="F6" s="4"/>
      <c r="G6" s="4"/>
      <c r="H6" s="4"/>
    </row>
    <row r="7" spans="1:8">
      <c r="A7" s="4" t="s">
        <v>197</v>
      </c>
      <c r="B7" s="11">
        <f>Assumptions!B45</f>
        <v>17</v>
      </c>
      <c r="C7" s="4"/>
      <c r="D7" s="4"/>
      <c r="E7" s="4"/>
      <c r="F7" s="4"/>
      <c r="G7" s="4"/>
      <c r="H7" s="4"/>
    </row>
    <row r="8" spans="1:8">
      <c r="A8" s="4" t="s">
        <v>179</v>
      </c>
      <c r="B8" s="9">
        <f>'Sources &amp; Uses'!B7</f>
        <v>18818150</v>
      </c>
      <c r="C8" s="4"/>
      <c r="D8" s="4"/>
      <c r="E8" s="4"/>
      <c r="F8" s="4"/>
      <c r="G8" s="4"/>
      <c r="H8" s="4"/>
    </row>
    <row r="9" spans="1:8">
      <c r="A9" s="4" t="s">
        <v>198</v>
      </c>
      <c r="B9" s="9">
        <f>'Sources &amp; Uses'!B14</f>
        <v>12231797.5</v>
      </c>
      <c r="C9" s="4"/>
      <c r="D9" s="4"/>
      <c r="E9" s="4"/>
      <c r="F9" s="4"/>
      <c r="G9" s="4"/>
      <c r="H9" s="4"/>
    </row>
    <row r="10" spans="1:8">
      <c r="A10" s="4" t="s">
        <v>199</v>
      </c>
      <c r="B10" s="9">
        <f>'Sources &amp; Uses'!B15</f>
        <v>6868624.75</v>
      </c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 s="34" customFormat="1">
      <c r="A12" s="33"/>
      <c r="B12" s="33"/>
      <c r="C12" s="33"/>
      <c r="D12" s="33"/>
      <c r="E12" s="33"/>
      <c r="F12" s="33"/>
      <c r="G12" s="33"/>
      <c r="H12" s="33"/>
    </row>
    <row r="13" spans="1:8" s="34" customFormat="1">
      <c r="A13" s="37" t="s">
        <v>200</v>
      </c>
      <c r="B13" s="37"/>
      <c r="C13" s="37"/>
      <c r="D13" s="37"/>
      <c r="E13" s="37"/>
      <c r="F13" s="37"/>
      <c r="G13" s="37"/>
      <c r="H13" s="37"/>
    </row>
    <row r="14" spans="1:8" s="34" customFormat="1">
      <c r="A14" s="33"/>
      <c r="B14" s="33"/>
      <c r="C14" s="33"/>
      <c r="D14" s="33"/>
      <c r="E14" s="33"/>
      <c r="F14" s="33"/>
      <c r="G14" s="33"/>
      <c r="H14" s="33"/>
    </row>
    <row r="15" spans="1:8">
      <c r="A15" s="4" t="s">
        <v>201</v>
      </c>
      <c r="B15" s="4">
        <v>0</v>
      </c>
      <c r="C15" s="4">
        <v>1</v>
      </c>
      <c r="D15" s="4">
        <v>2</v>
      </c>
      <c r="E15" s="4">
        <v>3</v>
      </c>
      <c r="F15" s="4">
        <v>4</v>
      </c>
      <c r="G15" s="4">
        <v>5</v>
      </c>
      <c r="H15" s="4"/>
    </row>
    <row r="16" spans="1:8">
      <c r="A16" s="4" t="s">
        <v>99</v>
      </c>
      <c r="B16" s="4">
        <f>B5</f>
        <v>1106950</v>
      </c>
      <c r="C16" s="9">
        <f>Forecast!B21*Assumptions!$B$43</f>
        <v>1128075</v>
      </c>
      <c r="D16" s="9">
        <f>Forecast!C21*Assumptions!$B$43</f>
        <v>1149832.4824999997</v>
      </c>
      <c r="E16" s="9">
        <f>Forecast!D21*Assumptions!$B$43</f>
        <v>1172237.9764874994</v>
      </c>
      <c r="F16" s="9">
        <f>Forecast!E21*Assumptions!$B$43</f>
        <v>1195307.4879419371</v>
      </c>
      <c r="G16" s="9">
        <f>Forecast!F21*Assumptions!$B$43</f>
        <v>1219057.5130924731</v>
      </c>
      <c r="H16" s="4"/>
    </row>
    <row r="17" spans="1:8">
      <c r="A17" s="4" t="s">
        <v>202</v>
      </c>
      <c r="B17" s="4"/>
      <c r="C17" s="10">
        <f>IFERROR(C16/B16-1,0)</f>
        <v>1.9083969465648831E-2</v>
      </c>
      <c r="D17" s="10">
        <f>IFERROR(D16/C16-1,0)</f>
        <v>1.9287265917602658E-2</v>
      </c>
      <c r="E17" s="10">
        <f>IFERROR(E16/D16-1,0)</f>
        <v>1.9485876706826888E-2</v>
      </c>
      <c r="F17" s="10">
        <f>IFERROR(F16/E16-1,0)</f>
        <v>1.967988746070426E-2</v>
      </c>
      <c r="G17" s="10">
        <f>IFERROR(G16/F16-1,0)</f>
        <v>1.9869385400930195E-2</v>
      </c>
      <c r="H17" s="4"/>
    </row>
    <row r="18" spans="1:8">
      <c r="A18" s="4" t="s">
        <v>203</v>
      </c>
      <c r="B18" s="4">
        <f>Historical!D17*Assumptions!$B$43</f>
        <v>830212.5</v>
      </c>
      <c r="C18" s="9">
        <f>Forecast!B17*Assumptions!$B$43</f>
        <v>846056.25</v>
      </c>
      <c r="D18" s="9">
        <f>Forecast!C17*Assumptions!$B$43</f>
        <v>862374.36187499971</v>
      </c>
      <c r="E18" s="9">
        <f>Forecast!D17*Assumptions!$B$43</f>
        <v>879178.48236562451</v>
      </c>
      <c r="F18" s="9">
        <f>Forecast!E17*Assumptions!$B$43</f>
        <v>896480.61595645279</v>
      </c>
      <c r="G18" s="9">
        <f>Forecast!F17*Assumptions!$B$43</f>
        <v>914293.13481935486</v>
      </c>
      <c r="H18" s="4"/>
    </row>
    <row r="19" spans="1:8">
      <c r="A19" s="4"/>
      <c r="B19" s="4"/>
      <c r="C19" s="9"/>
      <c r="D19" s="9"/>
      <c r="E19" s="9"/>
      <c r="F19" s="9"/>
      <c r="G19" s="9"/>
      <c r="H19" s="4"/>
    </row>
    <row r="20" spans="1:8">
      <c r="A20" s="4" t="s">
        <v>136</v>
      </c>
      <c r="B20" s="4"/>
      <c r="C20" s="9">
        <f>$B$9</f>
        <v>12231797.5</v>
      </c>
      <c r="D20" s="9">
        <f>C23</f>
        <v>12231797.5</v>
      </c>
      <c r="E20" s="9">
        <f>D23</f>
        <v>12231797.5</v>
      </c>
      <c r="F20" s="9">
        <f>E23</f>
        <v>12231797.5</v>
      </c>
      <c r="G20" s="9">
        <f>F23</f>
        <v>12231797.5</v>
      </c>
      <c r="H20" s="4"/>
    </row>
    <row r="21" spans="1:8">
      <c r="A21" s="4" t="s">
        <v>204</v>
      </c>
      <c r="B21" s="4"/>
      <c r="C21" s="9">
        <f>-C20*Assumptions!$B$47</f>
        <v>-856225.82500000007</v>
      </c>
      <c r="D21" s="9">
        <f>-D20*Assumptions!$B$47</f>
        <v>-856225.82500000007</v>
      </c>
      <c r="E21" s="9">
        <f>-E20*Assumptions!$B$47</f>
        <v>-856225.82500000007</v>
      </c>
      <c r="F21" s="9">
        <f>-F20*Assumptions!$B$47</f>
        <v>-856225.82500000007</v>
      </c>
      <c r="G21" s="9">
        <f>-G20*Assumptions!$B$47</f>
        <v>-856225.82500000007</v>
      </c>
      <c r="H21" s="4"/>
    </row>
    <row r="22" spans="1:8">
      <c r="A22" s="4" t="s">
        <v>205</v>
      </c>
      <c r="B22" s="4"/>
      <c r="C22" s="9">
        <f>-MIN(C20,$B$9*Assumptions!$B$50)</f>
        <v>0</v>
      </c>
      <c r="D22" s="9">
        <f>-MIN(D20,$B$9*Assumptions!$B$50)</f>
        <v>0</v>
      </c>
      <c r="E22" s="9">
        <f>-MIN(E20,$B$9*Assumptions!$B$50)</f>
        <v>0</v>
      </c>
      <c r="F22" s="9">
        <f>-MIN(F20,$B$9*Assumptions!$B$50)</f>
        <v>0</v>
      </c>
      <c r="G22" s="9">
        <f>-MIN(G20,$B$9*Assumptions!$B$50)</f>
        <v>0</v>
      </c>
      <c r="H22" s="4"/>
    </row>
    <row r="23" spans="1:8">
      <c r="A23" s="4" t="s">
        <v>139</v>
      </c>
      <c r="B23" s="4"/>
      <c r="C23" s="9">
        <f>SUM(C20,C22)</f>
        <v>12231797.5</v>
      </c>
      <c r="D23" s="9">
        <f>SUM(D20,D22)</f>
        <v>12231797.5</v>
      </c>
      <c r="E23" s="9">
        <f>SUM(E20,E22)</f>
        <v>12231797.5</v>
      </c>
      <c r="F23" s="9">
        <f>SUM(F20,F22)</f>
        <v>12231797.5</v>
      </c>
      <c r="G23" s="9">
        <f>SUM(G20,G22)</f>
        <v>12231797.5</v>
      </c>
      <c r="H23" s="4"/>
    </row>
    <row r="24" spans="1:8">
      <c r="A24" s="4" t="s">
        <v>206</v>
      </c>
      <c r="B24" s="4"/>
      <c r="C24" s="9">
        <f>SUM(C18,C21:C22)</f>
        <v>-10169.57500000007</v>
      </c>
      <c r="D24" s="9">
        <f>SUM(D18,D21:D22)</f>
        <v>6148.5368749996414</v>
      </c>
      <c r="E24" s="9">
        <f>SUM(E18,E21:E22)</f>
        <v>22952.657365624444</v>
      </c>
      <c r="F24" s="9">
        <f>SUM(F18,F21:F22)</f>
        <v>40254.790956452722</v>
      </c>
      <c r="G24" s="9">
        <f>SUM(G18,G21:G22)</f>
        <v>58067.309819354792</v>
      </c>
      <c r="H24" s="4"/>
    </row>
    <row r="25" spans="1:8">
      <c r="A25" s="4"/>
      <c r="B25" s="4"/>
      <c r="C25" s="9"/>
      <c r="D25" s="9"/>
      <c r="E25" s="9"/>
      <c r="F25" s="9"/>
      <c r="G25" s="9"/>
      <c r="H25" s="4"/>
    </row>
    <row r="26" spans="1:8">
      <c r="A26" s="4" t="s">
        <v>207</v>
      </c>
      <c r="B26" s="4"/>
      <c r="C26" s="9">
        <f>0</f>
        <v>0</v>
      </c>
      <c r="D26" s="9">
        <f>0</f>
        <v>0</v>
      </c>
      <c r="E26" s="9">
        <f>0</f>
        <v>0</v>
      </c>
      <c r="F26" s="9">
        <f>0</f>
        <v>0</v>
      </c>
      <c r="G26" s="9">
        <f>G16*$B$7</f>
        <v>20723977.722572044</v>
      </c>
      <c r="H26" s="4"/>
    </row>
    <row r="27" spans="1:8">
      <c r="A27" s="4" t="s">
        <v>208</v>
      </c>
      <c r="B27" s="4"/>
      <c r="C27" s="9">
        <f>-C26*Assumptions!$B$49</f>
        <v>0</v>
      </c>
      <c r="D27" s="9">
        <f>-D26*Assumptions!$B$49</f>
        <v>0</v>
      </c>
      <c r="E27" s="9">
        <f>-E26*Assumptions!$B$49</f>
        <v>0</v>
      </c>
      <c r="F27" s="9">
        <f>-F26*Assumptions!$B$49</f>
        <v>0</v>
      </c>
      <c r="G27" s="9">
        <f>-G26*Assumptions!$B$49</f>
        <v>-414479.55445144087</v>
      </c>
      <c r="H27" s="4"/>
    </row>
    <row r="28" spans="1:8">
      <c r="A28" s="4" t="s">
        <v>209</v>
      </c>
      <c r="B28" s="4"/>
      <c r="C28" s="9">
        <f>0</f>
        <v>0</v>
      </c>
      <c r="D28" s="9">
        <f>0</f>
        <v>0</v>
      </c>
      <c r="E28" s="9">
        <f>0</f>
        <v>0</v>
      </c>
      <c r="F28" s="9">
        <f>0</f>
        <v>0</v>
      </c>
      <c r="G28" s="9">
        <f>-G23</f>
        <v>-12231797.5</v>
      </c>
      <c r="H28" s="4"/>
    </row>
    <row r="29" spans="1:8">
      <c r="A29" s="4" t="s">
        <v>210</v>
      </c>
      <c r="B29" s="4"/>
      <c r="C29" s="9">
        <f>SUM(C26:C28)</f>
        <v>0</v>
      </c>
      <c r="D29" s="9">
        <f>SUM(D26:D28)</f>
        <v>0</v>
      </c>
      <c r="E29" s="9">
        <f>SUM(E26:E28)</f>
        <v>0</v>
      </c>
      <c r="F29" s="9">
        <f>SUM(F26:F28)</f>
        <v>0</v>
      </c>
      <c r="G29" s="9">
        <f>SUM(G26:G28)</f>
        <v>8077700.668120604</v>
      </c>
      <c r="H29" s="4"/>
    </row>
    <row r="30" spans="1:8">
      <c r="A30" s="4"/>
      <c r="B30" s="4"/>
      <c r="C30" s="9"/>
      <c r="D30" s="9"/>
      <c r="E30" s="9"/>
      <c r="F30" s="9"/>
      <c r="G30" s="9"/>
      <c r="H30" s="4"/>
    </row>
    <row r="31" spans="1:8">
      <c r="A31" s="4" t="s">
        <v>211</v>
      </c>
      <c r="B31" s="4">
        <f>-B10</f>
        <v>-6868624.75</v>
      </c>
      <c r="C31" s="9">
        <f>SUM(C24,C29)</f>
        <v>-10169.57500000007</v>
      </c>
      <c r="D31" s="9">
        <f>SUM(D24,D29)</f>
        <v>6148.5368749996414</v>
      </c>
      <c r="E31" s="9">
        <f>SUM(E24,E29)</f>
        <v>22952.657365624444</v>
      </c>
      <c r="F31" s="9">
        <f>SUM(F24,F29)</f>
        <v>40254.790956452722</v>
      </c>
      <c r="G31" s="9">
        <f>SUM(G24,G29)</f>
        <v>8135767.9779399587</v>
      </c>
      <c r="H31" s="4"/>
    </row>
    <row r="32" spans="1:8">
      <c r="A32" s="4" t="s">
        <v>212</v>
      </c>
      <c r="B32" s="4">
        <f>-'Sources &amp; Uses'!B9</f>
        <v>-19100422.25</v>
      </c>
      <c r="C32" s="9">
        <f>SUM(C18,C26:C27)</f>
        <v>846056.25</v>
      </c>
      <c r="D32" s="9">
        <f>SUM(D18,D26:D27)</f>
        <v>862374.36187499971</v>
      </c>
      <c r="E32" s="9">
        <f>SUM(E18,E26:E27)</f>
        <v>879178.48236562451</v>
      </c>
      <c r="F32" s="9">
        <f>SUM(F18,F26:F27)</f>
        <v>896480.61595645279</v>
      </c>
      <c r="G32" s="9">
        <f>SUM(G18,G26:G27)</f>
        <v>21223791.302939959</v>
      </c>
      <c r="H32" s="4"/>
    </row>
    <row r="33" spans="1:8">
      <c r="A33" s="4"/>
      <c r="B33" s="4"/>
      <c r="C33" s="9"/>
      <c r="D33" s="9"/>
      <c r="E33" s="9"/>
      <c r="F33" s="9"/>
      <c r="G33" s="9"/>
      <c r="H33" s="4"/>
    </row>
    <row r="34" spans="1:8" s="34" customFormat="1">
      <c r="A34" s="33"/>
      <c r="B34" s="33"/>
      <c r="C34" s="33"/>
      <c r="D34" s="33"/>
      <c r="E34" s="33"/>
      <c r="F34" s="33"/>
      <c r="G34" s="33"/>
      <c r="H34" s="33"/>
    </row>
    <row r="35" spans="1:8" s="34" customFormat="1">
      <c r="A35" s="37" t="s">
        <v>213</v>
      </c>
      <c r="B35" s="37"/>
      <c r="C35" s="37"/>
      <c r="D35" s="37"/>
      <c r="E35" s="37"/>
      <c r="F35" s="37"/>
      <c r="G35" s="37"/>
      <c r="H35" s="37"/>
    </row>
    <row r="36" spans="1:8" s="34" customFormat="1">
      <c r="A36" s="33"/>
      <c r="B36" s="33"/>
      <c r="C36" s="33"/>
      <c r="D36" s="33"/>
      <c r="E36" s="33"/>
      <c r="F36" s="33"/>
      <c r="G36" s="33"/>
      <c r="H36" s="33"/>
    </row>
    <row r="37" spans="1:8">
      <c r="A37" s="25" t="s">
        <v>214</v>
      </c>
      <c r="B37" s="28">
        <f>IRR(B31:G31)</f>
        <v>3.5999276313515294E-2</v>
      </c>
      <c r="C37" s="4"/>
      <c r="D37" s="4"/>
      <c r="E37" s="4"/>
      <c r="F37" s="4"/>
      <c r="G37" s="4"/>
      <c r="H37" s="4"/>
    </row>
    <row r="38" spans="1:8">
      <c r="A38" s="25" t="s">
        <v>215</v>
      </c>
      <c r="B38" s="28">
        <f>IRR(B32:G32)</f>
        <v>5.7247364166454595E-2</v>
      </c>
      <c r="C38" s="4"/>
      <c r="D38" s="4"/>
      <c r="E38" s="4"/>
      <c r="F38" s="4"/>
      <c r="G38" s="4"/>
      <c r="H38" s="4"/>
    </row>
    <row r="39" spans="1:8">
      <c r="A39" s="25" t="s">
        <v>7</v>
      </c>
      <c r="B39" s="29">
        <f>SUM(C31:G31)/-B31</f>
        <v>1.1930997377804102</v>
      </c>
      <c r="C39" s="4"/>
      <c r="D39" s="4"/>
      <c r="E39" s="4"/>
      <c r="F39" s="4"/>
      <c r="G39" s="4"/>
      <c r="H39" s="4"/>
    </row>
    <row r="40" spans="1:8">
      <c r="A40" s="25" t="s">
        <v>216</v>
      </c>
      <c r="B40" s="29">
        <f>SUM(C32:G32)/-B32</f>
        <v>1.2935777382166007</v>
      </c>
      <c r="C40" s="4"/>
      <c r="D40" s="4"/>
      <c r="E40" s="4"/>
      <c r="F40" s="4"/>
      <c r="G40" s="4"/>
      <c r="H40" s="4"/>
    </row>
    <row r="41" spans="1:8">
      <c r="A41" s="4" t="s">
        <v>217</v>
      </c>
      <c r="B41" s="10">
        <f>IFERROR(G24/$B$10,0)</f>
        <v>8.453993620681461E-3</v>
      </c>
      <c r="C41" s="4"/>
      <c r="D41" s="4"/>
      <c r="E41" s="4"/>
      <c r="F41" s="4"/>
      <c r="G41" s="4"/>
      <c r="H41" s="4"/>
    </row>
    <row r="42" spans="1:8">
      <c r="A42" s="4" t="s">
        <v>218</v>
      </c>
      <c r="B42" s="10">
        <f>B37-Assumptions!B47</f>
        <v>-3.4000723686484713E-2</v>
      </c>
      <c r="C42" s="4"/>
      <c r="D42" s="4"/>
      <c r="E42" s="4"/>
      <c r="F42" s="4"/>
      <c r="G42" s="4"/>
      <c r="H42" s="4"/>
    </row>
    <row r="43" spans="1:8">
      <c r="A43" s="4" t="s">
        <v>219</v>
      </c>
      <c r="B43" s="4" t="str">
        <f>IF(B6=B7,"PARITY","DIFFERENT")</f>
        <v>PARITY</v>
      </c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5"/>
  <sheetViews>
    <sheetView workbookViewId="0">
      <selection activeCell="B84" sqref="B84"/>
    </sheetView>
  </sheetViews>
  <sheetFormatPr defaultRowHeight="14"/>
  <cols>
    <col min="1" max="1" width="27" customWidth="1"/>
    <col min="2" max="13" width="17" customWidth="1"/>
  </cols>
  <sheetData>
    <row r="1" spans="1:13" s="34" customFormat="1" ht="17.5">
      <c r="A1" s="54" t="s">
        <v>220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s="34" customForma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34" customFormat="1">
      <c r="A3" s="37" t="s">
        <v>221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34" customForma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34" customFormat="1">
      <c r="A5" s="33" t="s">
        <v>152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>
      <c r="A6" s="4"/>
      <c r="B6" s="4"/>
      <c r="C6" s="11">
        <f>Assumptions!$B$45+-2</f>
        <v>15</v>
      </c>
      <c r="D6" s="11">
        <f>Assumptions!$B$45+-1</f>
        <v>16</v>
      </c>
      <c r="E6" s="11">
        <f>Assumptions!$B$45+0</f>
        <v>17</v>
      </c>
      <c r="F6" s="11">
        <f>Assumptions!$B$45+1</f>
        <v>18</v>
      </c>
      <c r="G6" s="11">
        <f>Assumptions!$B$45+2</f>
        <v>19</v>
      </c>
      <c r="H6" s="4"/>
      <c r="I6" s="4"/>
      <c r="J6" s="4"/>
      <c r="K6" s="4"/>
      <c r="L6" s="4"/>
      <c r="M6" s="4"/>
    </row>
    <row r="7" spans="1:13">
      <c r="A7" s="4"/>
      <c r="B7" s="11">
        <f>Assumptions!$B$44+-2</f>
        <v>15</v>
      </c>
      <c r="C7" s="10">
        <f>M14</f>
        <v>5.1939442886437259E-2</v>
      </c>
      <c r="D7" s="10">
        <f>M15</f>
        <v>8.323873715073371E-2</v>
      </c>
      <c r="E7" s="10">
        <f>M16</f>
        <v>0.11124330770601265</v>
      </c>
      <c r="F7" s="10">
        <f>M17</f>
        <v>0.13664516202094301</v>
      </c>
      <c r="G7" s="10">
        <f>M18</f>
        <v>0.15993342703777214</v>
      </c>
      <c r="H7" s="4"/>
      <c r="I7" s="4"/>
      <c r="J7" s="4"/>
      <c r="K7" s="4"/>
      <c r="L7" s="4"/>
      <c r="M7" s="4"/>
    </row>
    <row r="8" spans="1:13">
      <c r="A8" s="4"/>
      <c r="B8" s="11">
        <f>Assumptions!$B$44+-1</f>
        <v>16</v>
      </c>
      <c r="C8" s="10">
        <f>M19</f>
        <v>9.6466698952240026E-3</v>
      </c>
      <c r="D8" s="10">
        <f>M20</f>
        <v>4.3469526020141425E-2</v>
      </c>
      <c r="E8" s="10">
        <f>M21</f>
        <v>7.3370842894401767E-2</v>
      </c>
      <c r="F8" s="10">
        <f>M22</f>
        <v>0.10024674262208055</v>
      </c>
      <c r="G8" s="10">
        <f>M23</f>
        <v>0.12471017077450974</v>
      </c>
      <c r="H8" s="4"/>
      <c r="I8" s="4"/>
      <c r="J8" s="4"/>
      <c r="K8" s="4"/>
      <c r="L8" s="4"/>
      <c r="M8" s="4"/>
    </row>
    <row r="9" spans="1:13">
      <c r="A9" s="4"/>
      <c r="B9" s="11">
        <f>Assumptions!$B$44+0</f>
        <v>17</v>
      </c>
      <c r="C9" s="10">
        <f>M24</f>
        <v>-3.3140246322251432E-2</v>
      </c>
      <c r="D9" s="10">
        <f>M25</f>
        <v>3.8113902297967073E-3</v>
      </c>
      <c r="E9" s="10">
        <f>M26</f>
        <v>3.5999276313515294E-2</v>
      </c>
      <c r="F9" s="10">
        <f>M27</f>
        <v>6.4616278966769913E-2</v>
      </c>
      <c r="G9" s="10">
        <f>M28</f>
        <v>9.0446677322956193E-2</v>
      </c>
      <c r="H9" s="4"/>
      <c r="I9" s="4"/>
      <c r="J9" s="4"/>
      <c r="K9" s="4"/>
      <c r="L9" s="4"/>
      <c r="M9" s="4"/>
    </row>
    <row r="10" spans="1:13">
      <c r="A10" s="4"/>
      <c r="B10" s="11">
        <f>Assumptions!$B$44+1</f>
        <v>18</v>
      </c>
      <c r="C10" s="10">
        <f>M29</f>
        <v>-7.7254315129101969E-2</v>
      </c>
      <c r="D10" s="10">
        <f>M30</f>
        <v>-3.6327474759039413E-2</v>
      </c>
      <c r="E10" s="10">
        <f>M31</f>
        <v>-1.3364764509142812E-3</v>
      </c>
      <c r="F10" s="10">
        <f>M32</f>
        <v>2.9361600821257161E-2</v>
      </c>
      <c r="G10" s="10">
        <f>M33</f>
        <v>5.6795624656256649E-2</v>
      </c>
      <c r="H10" s="4"/>
      <c r="I10" s="4"/>
      <c r="J10" s="4"/>
      <c r="K10" s="4"/>
      <c r="L10" s="4"/>
      <c r="M10" s="4"/>
    </row>
    <row r="11" spans="1:13">
      <c r="A11" s="4"/>
      <c r="B11" s="11">
        <f>Assumptions!$B$44+2</f>
        <v>19</v>
      </c>
      <c r="C11" s="10">
        <f>M34</f>
        <v>-0.12378149837838615</v>
      </c>
      <c r="D11" s="10">
        <f>M35</f>
        <v>-7.7637013509753272E-2</v>
      </c>
      <c r="E11" s="10">
        <f>M36</f>
        <v>-3.9134542185081944E-2</v>
      </c>
      <c r="F11" s="10">
        <f>M37</f>
        <v>-5.9111485564935506E-3</v>
      </c>
      <c r="G11" s="10">
        <f>M38</f>
        <v>2.3424675596640521E-2</v>
      </c>
      <c r="H11" s="4"/>
      <c r="I11" s="4"/>
      <c r="J11" s="4"/>
      <c r="K11" s="4"/>
      <c r="L11" s="4"/>
      <c r="M11" s="4"/>
    </row>
    <row r="12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 t="s">
        <v>222</v>
      </c>
      <c r="B14" s="4">
        <f>$B7</f>
        <v>15</v>
      </c>
      <c r="C14" s="4">
        <f>C$6</f>
        <v>15</v>
      </c>
      <c r="D14" s="4">
        <f>'Rights Basis'!$B$11*B14</f>
        <v>16604250</v>
      </c>
      <c r="E14" s="4">
        <f>D14*Assumptions!$B$46</f>
        <v>10792762.5</v>
      </c>
      <c r="F14" s="4">
        <f>D14*(1+Assumptions!$B$48)-E14</f>
        <v>6060551.25</v>
      </c>
      <c r="G14" s="4">
        <f t="shared" ref="G14:G38" si="0">-F14</f>
        <v>-6060551.25</v>
      </c>
      <c r="H14" s="4">
        <f>'5Y Underwriting'!C18-MAX(0,E14*(1-(1-1)*Assumptions!$B$50))*Assumptions!$B$47-MIN(MAX(0,E14*(1-(1-1)*Assumptions!$B$50)),E14*Assumptions!$B$50)</f>
        <v>90562.874999999884</v>
      </c>
      <c r="I14" s="4">
        <f>'5Y Underwriting'!D18-MAX(0,E14*(1-(2-1)*Assumptions!$B$50))*Assumptions!$B$47-MIN(MAX(0,E14*(1-(2-1)*Assumptions!$B$50)),E14*Assumptions!$B$50)</f>
        <v>106880.98687499959</v>
      </c>
      <c r="J14" s="4">
        <f>'5Y Underwriting'!E18-MAX(0,E14*(1-(3-1)*Assumptions!$B$50))*Assumptions!$B$47-MIN(MAX(0,E14*(1-(3-1)*Assumptions!$B$50)),E14*Assumptions!$B$50)</f>
        <v>123685.1073656244</v>
      </c>
      <c r="K14" s="4">
        <f>'5Y Underwriting'!F18-MAX(0,E14*(1-(4-1)*Assumptions!$B$50))*Assumptions!$B$47-MIN(MAX(0,E14*(1-(4-1)*Assumptions!$B$50)),E14*Assumptions!$B$50)</f>
        <v>140987.24095645268</v>
      </c>
      <c r="L14" s="4">
        <f>'5Y Underwriting'!G18-MAX(0,E14*(1-(5-1)*Assumptions!$B$50))*Assumptions!$B$47-MIN(MAX(0,E14*(1-(5-1)*Assumptions!$B$50)),E14*Assumptions!$B$50)+'5Y Underwriting'!$G$16*C14*(1-Assumptions!$B$49)-MAX(0,E14*(1-5*Assumptions!$B$50))</f>
        <v>7286182.7022787109</v>
      </c>
      <c r="M14" s="10">
        <f t="shared" ref="M14:M38" si="1">IFERROR(IRR(G14:L14),0)</f>
        <v>5.1939442886437259E-2</v>
      </c>
    </row>
    <row r="15" spans="1:13">
      <c r="A15" s="4" t="s">
        <v>223</v>
      </c>
      <c r="B15" s="4">
        <f>$B7</f>
        <v>15</v>
      </c>
      <c r="C15" s="4">
        <f>D$6</f>
        <v>16</v>
      </c>
      <c r="D15" s="4">
        <f>'Rights Basis'!$B$11*B15</f>
        <v>16604250</v>
      </c>
      <c r="E15" s="4">
        <f>D15*Assumptions!$B$46</f>
        <v>10792762.5</v>
      </c>
      <c r="F15" s="4">
        <f>D15*(1+Assumptions!$B$48)-E15</f>
        <v>6060551.25</v>
      </c>
      <c r="G15" s="4">
        <f t="shared" si="0"/>
        <v>-6060551.25</v>
      </c>
      <c r="H15" s="4">
        <f>'5Y Underwriting'!C18-MAX(0,E15*(1-(1-1)*Assumptions!$B$50))*Assumptions!$B$47-MIN(MAX(0,E15*(1-(1-1)*Assumptions!$B$50)),E15*Assumptions!$B$50)</f>
        <v>90562.874999999884</v>
      </c>
      <c r="I15" s="4">
        <f>'5Y Underwriting'!D18-MAX(0,E15*(1-(2-1)*Assumptions!$B$50))*Assumptions!$B$47-MIN(MAX(0,E15*(1-(2-1)*Assumptions!$B$50)),E15*Assumptions!$B$50)</f>
        <v>106880.98687499959</v>
      </c>
      <c r="J15" s="4">
        <f>'5Y Underwriting'!E18-MAX(0,E15*(1-(3-1)*Assumptions!$B$50))*Assumptions!$B$47-MIN(MAX(0,E15*(1-(3-1)*Assumptions!$B$50)),E15*Assumptions!$B$50)</f>
        <v>123685.1073656244</v>
      </c>
      <c r="K15" s="4">
        <f>'5Y Underwriting'!F18-MAX(0,E15*(1-(4-1)*Assumptions!$B$50))*Assumptions!$B$47-MIN(MAX(0,E15*(1-(4-1)*Assumptions!$B$50)),E15*Assumptions!$B$50)</f>
        <v>140987.24095645268</v>
      </c>
      <c r="L15" s="4">
        <f>'5Y Underwriting'!G18-MAX(0,E15*(1-(5-1)*Assumptions!$B$50))*Assumptions!$B$47-MIN(MAX(0,E15*(1-(5-1)*Assumptions!$B$50)),E15*Assumptions!$B$50)+'5Y Underwriting'!$G$16*C15*(1-Assumptions!$B$49)-MAX(0,E15*(1-5*Assumptions!$B$50))</f>
        <v>8480859.0651093349</v>
      </c>
      <c r="M15" s="10">
        <f t="shared" si="1"/>
        <v>8.323873715073371E-2</v>
      </c>
    </row>
    <row r="16" spans="1:13">
      <c r="A16" s="4" t="s">
        <v>224</v>
      </c>
      <c r="B16" s="4">
        <f>$B7</f>
        <v>15</v>
      </c>
      <c r="C16" s="4">
        <f>E$6</f>
        <v>17</v>
      </c>
      <c r="D16" s="4">
        <f>'Rights Basis'!$B$11*B16</f>
        <v>16604250</v>
      </c>
      <c r="E16" s="4">
        <f>D16*Assumptions!$B$46</f>
        <v>10792762.5</v>
      </c>
      <c r="F16" s="4">
        <f>D16*(1+Assumptions!$B$48)-E16</f>
        <v>6060551.25</v>
      </c>
      <c r="G16" s="4">
        <f t="shared" si="0"/>
        <v>-6060551.25</v>
      </c>
      <c r="H16" s="4">
        <f>'5Y Underwriting'!C18-MAX(0,E16*(1-(1-1)*Assumptions!$B$50))*Assumptions!$B$47-MIN(MAX(0,E16*(1-(1-1)*Assumptions!$B$50)),E16*Assumptions!$B$50)</f>
        <v>90562.874999999884</v>
      </c>
      <c r="I16" s="4">
        <f>'5Y Underwriting'!D18-MAX(0,E16*(1-(2-1)*Assumptions!$B$50))*Assumptions!$B$47-MIN(MAX(0,E16*(1-(2-1)*Assumptions!$B$50)),E16*Assumptions!$B$50)</f>
        <v>106880.98687499959</v>
      </c>
      <c r="J16" s="4">
        <f>'5Y Underwriting'!E18-MAX(0,E16*(1-(3-1)*Assumptions!$B$50))*Assumptions!$B$47-MIN(MAX(0,E16*(1-(3-1)*Assumptions!$B$50)),E16*Assumptions!$B$50)</f>
        <v>123685.1073656244</v>
      </c>
      <c r="K16" s="4">
        <f>'5Y Underwriting'!F18-MAX(0,E16*(1-(4-1)*Assumptions!$B$50))*Assumptions!$B$47-MIN(MAX(0,E16*(1-(4-1)*Assumptions!$B$50)),E16*Assumptions!$B$50)</f>
        <v>140987.24095645268</v>
      </c>
      <c r="L16" s="4">
        <f>'5Y Underwriting'!G18-MAX(0,E16*(1-(5-1)*Assumptions!$B$50))*Assumptions!$B$47-MIN(MAX(0,E16*(1-(5-1)*Assumptions!$B$50)),E16*Assumptions!$B$50)+'5Y Underwriting'!$G$16*C16*(1-Assumptions!$B$49)-MAX(0,E16*(1-5*Assumptions!$B$50))</f>
        <v>9675535.4279399589</v>
      </c>
      <c r="M16" s="10">
        <f t="shared" si="1"/>
        <v>0.11124330770601265</v>
      </c>
    </row>
    <row r="17" spans="1:13">
      <c r="A17" s="4" t="s">
        <v>225</v>
      </c>
      <c r="B17" s="4">
        <f>$B7</f>
        <v>15</v>
      </c>
      <c r="C17" s="4">
        <f>F$6</f>
        <v>18</v>
      </c>
      <c r="D17" s="4">
        <f>'Rights Basis'!$B$11*B17</f>
        <v>16604250</v>
      </c>
      <c r="E17" s="4">
        <f>D17*Assumptions!$B$46</f>
        <v>10792762.5</v>
      </c>
      <c r="F17" s="4">
        <f>D17*(1+Assumptions!$B$48)-E17</f>
        <v>6060551.25</v>
      </c>
      <c r="G17" s="4">
        <f t="shared" si="0"/>
        <v>-6060551.25</v>
      </c>
      <c r="H17" s="4">
        <f>'5Y Underwriting'!C18-MAX(0,E17*(1-(1-1)*Assumptions!$B$50))*Assumptions!$B$47-MIN(MAX(0,E17*(1-(1-1)*Assumptions!$B$50)),E17*Assumptions!$B$50)</f>
        <v>90562.874999999884</v>
      </c>
      <c r="I17" s="4">
        <f>'5Y Underwriting'!D18-MAX(0,E17*(1-(2-1)*Assumptions!$B$50))*Assumptions!$B$47-MIN(MAX(0,E17*(1-(2-1)*Assumptions!$B$50)),E17*Assumptions!$B$50)</f>
        <v>106880.98687499959</v>
      </c>
      <c r="J17" s="4">
        <f>'5Y Underwriting'!E18-MAX(0,E17*(1-(3-1)*Assumptions!$B$50))*Assumptions!$B$47-MIN(MAX(0,E17*(1-(3-1)*Assumptions!$B$50)),E17*Assumptions!$B$50)</f>
        <v>123685.1073656244</v>
      </c>
      <c r="K17" s="4">
        <f>'5Y Underwriting'!F18-MAX(0,E17*(1-(4-1)*Assumptions!$B$50))*Assumptions!$B$47-MIN(MAX(0,E17*(1-(4-1)*Assumptions!$B$50)),E17*Assumptions!$B$50)</f>
        <v>140987.24095645268</v>
      </c>
      <c r="L17" s="4">
        <f>'5Y Underwriting'!G18-MAX(0,E17*(1-(5-1)*Assumptions!$B$50))*Assumptions!$B$47-MIN(MAX(0,E17*(1-(5-1)*Assumptions!$B$50)),E17*Assumptions!$B$50)+'5Y Underwriting'!$G$16*C17*(1-Assumptions!$B$49)-MAX(0,E17*(1-5*Assumptions!$B$50))</f>
        <v>10870211.790770579</v>
      </c>
      <c r="M17" s="10">
        <f t="shared" si="1"/>
        <v>0.13664516202094301</v>
      </c>
    </row>
    <row r="18" spans="1:13">
      <c r="A18" s="4" t="s">
        <v>226</v>
      </c>
      <c r="B18" s="4">
        <f>$B7</f>
        <v>15</v>
      </c>
      <c r="C18" s="4">
        <f>G$6</f>
        <v>19</v>
      </c>
      <c r="D18" s="4">
        <f>'Rights Basis'!$B$11*B18</f>
        <v>16604250</v>
      </c>
      <c r="E18" s="4">
        <f>D18*Assumptions!$B$46</f>
        <v>10792762.5</v>
      </c>
      <c r="F18" s="4">
        <f>D18*(1+Assumptions!$B$48)-E18</f>
        <v>6060551.25</v>
      </c>
      <c r="G18" s="4">
        <f t="shared" si="0"/>
        <v>-6060551.25</v>
      </c>
      <c r="H18" s="4">
        <f>'5Y Underwriting'!C18-MAX(0,E18*(1-(1-1)*Assumptions!$B$50))*Assumptions!$B$47-MIN(MAX(0,E18*(1-(1-1)*Assumptions!$B$50)),E18*Assumptions!$B$50)</f>
        <v>90562.874999999884</v>
      </c>
      <c r="I18" s="4">
        <f>'5Y Underwriting'!D18-MAX(0,E18*(1-(2-1)*Assumptions!$B$50))*Assumptions!$B$47-MIN(MAX(0,E18*(1-(2-1)*Assumptions!$B$50)),E18*Assumptions!$B$50)</f>
        <v>106880.98687499959</v>
      </c>
      <c r="J18" s="4">
        <f>'5Y Underwriting'!E18-MAX(0,E18*(1-(3-1)*Assumptions!$B$50))*Assumptions!$B$47-MIN(MAX(0,E18*(1-(3-1)*Assumptions!$B$50)),E18*Assumptions!$B$50)</f>
        <v>123685.1073656244</v>
      </c>
      <c r="K18" s="4">
        <f>'5Y Underwriting'!F18-MAX(0,E18*(1-(4-1)*Assumptions!$B$50))*Assumptions!$B$47-MIN(MAX(0,E18*(1-(4-1)*Assumptions!$B$50)),E18*Assumptions!$B$50)</f>
        <v>140987.24095645268</v>
      </c>
      <c r="L18" s="4">
        <f>'5Y Underwriting'!G18-MAX(0,E18*(1-(5-1)*Assumptions!$B$50))*Assumptions!$B$47-MIN(MAX(0,E18*(1-(5-1)*Assumptions!$B$50)),E18*Assumptions!$B$50)+'5Y Underwriting'!$G$16*C18*(1-Assumptions!$B$49)-MAX(0,E18*(1-5*Assumptions!$B$50))</f>
        <v>12064888.153601203</v>
      </c>
      <c r="M18" s="10">
        <f t="shared" si="1"/>
        <v>0.15993342703777214</v>
      </c>
    </row>
    <row r="19" spans="1:13">
      <c r="A19" s="4" t="s">
        <v>227</v>
      </c>
      <c r="B19" s="4">
        <f>$B8</f>
        <v>16</v>
      </c>
      <c r="C19" s="4">
        <f>C$6</f>
        <v>15</v>
      </c>
      <c r="D19" s="4">
        <f>'Rights Basis'!$B$11*B19</f>
        <v>17711200</v>
      </c>
      <c r="E19" s="4">
        <f>D19*Assumptions!$B$46</f>
        <v>11512280</v>
      </c>
      <c r="F19" s="4">
        <f>D19*(1+Assumptions!$B$48)-E19</f>
        <v>6464588</v>
      </c>
      <c r="G19" s="4">
        <f t="shared" si="0"/>
        <v>-6464588</v>
      </c>
      <c r="H19" s="4">
        <f>'5Y Underwriting'!C18-MAX(0,E19*(1-(1-1)*Assumptions!$B$50))*Assumptions!$B$47-MIN(MAX(0,E19*(1-(1-1)*Assumptions!$B$50)),E19*Assumptions!$B$50)</f>
        <v>40196.649999999907</v>
      </c>
      <c r="I19" s="4">
        <f>'5Y Underwriting'!D18-MAX(0,E19*(1-(2-1)*Assumptions!$B$50))*Assumptions!$B$47-MIN(MAX(0,E19*(1-(2-1)*Assumptions!$B$50)),E19*Assumptions!$B$50)</f>
        <v>56514.761874999618</v>
      </c>
      <c r="J19" s="4">
        <f>'5Y Underwriting'!E18-MAX(0,E19*(1-(3-1)*Assumptions!$B$50))*Assumptions!$B$47-MIN(MAX(0,E19*(1-(3-1)*Assumptions!$B$50)),E19*Assumptions!$B$50)</f>
        <v>73318.88236562442</v>
      </c>
      <c r="K19" s="4">
        <f>'5Y Underwriting'!F18-MAX(0,E19*(1-(4-1)*Assumptions!$B$50))*Assumptions!$B$47-MIN(MAX(0,E19*(1-(4-1)*Assumptions!$B$50)),E19*Assumptions!$B$50)</f>
        <v>90621.015956452698</v>
      </c>
      <c r="L19" s="4">
        <f>'5Y Underwriting'!G18-MAX(0,E19*(1-(5-1)*Assumptions!$B$50))*Assumptions!$B$47-MIN(MAX(0,E19*(1-(5-1)*Assumptions!$B$50)),E19*Assumptions!$B$50)+'5Y Underwriting'!$G$16*C19*(1-Assumptions!$B$49)-MAX(0,E19*(1-5*Assumptions!$B$50))</f>
        <v>6516298.9772787094</v>
      </c>
      <c r="M19" s="10">
        <f t="shared" si="1"/>
        <v>9.6466698952240026E-3</v>
      </c>
    </row>
    <row r="20" spans="1:13">
      <c r="A20" s="4" t="s">
        <v>228</v>
      </c>
      <c r="B20" s="4">
        <f>$B8</f>
        <v>16</v>
      </c>
      <c r="C20" s="4">
        <f>D$6</f>
        <v>16</v>
      </c>
      <c r="D20" s="4">
        <f>'Rights Basis'!$B$11*B20</f>
        <v>17711200</v>
      </c>
      <c r="E20" s="4">
        <f>D20*Assumptions!$B$46</f>
        <v>11512280</v>
      </c>
      <c r="F20" s="4">
        <f>D20*(1+Assumptions!$B$48)-E20</f>
        <v>6464588</v>
      </c>
      <c r="G20" s="4">
        <f t="shared" si="0"/>
        <v>-6464588</v>
      </c>
      <c r="H20" s="4">
        <f>'5Y Underwriting'!C18-MAX(0,E20*(1-(1-1)*Assumptions!$B$50))*Assumptions!$B$47-MIN(MAX(0,E20*(1-(1-1)*Assumptions!$B$50)),E20*Assumptions!$B$50)</f>
        <v>40196.649999999907</v>
      </c>
      <c r="I20" s="4">
        <f>'5Y Underwriting'!D18-MAX(0,E20*(1-(2-1)*Assumptions!$B$50))*Assumptions!$B$47-MIN(MAX(0,E20*(1-(2-1)*Assumptions!$B$50)),E20*Assumptions!$B$50)</f>
        <v>56514.761874999618</v>
      </c>
      <c r="J20" s="4">
        <f>'5Y Underwriting'!E18-MAX(0,E20*(1-(3-1)*Assumptions!$B$50))*Assumptions!$B$47-MIN(MAX(0,E20*(1-(3-1)*Assumptions!$B$50)),E20*Assumptions!$B$50)</f>
        <v>73318.88236562442</v>
      </c>
      <c r="K20" s="4">
        <f>'5Y Underwriting'!F18-MAX(0,E20*(1-(4-1)*Assumptions!$B$50))*Assumptions!$B$47-MIN(MAX(0,E20*(1-(4-1)*Assumptions!$B$50)),E20*Assumptions!$B$50)</f>
        <v>90621.015956452698</v>
      </c>
      <c r="L20" s="4">
        <f>'5Y Underwriting'!G18-MAX(0,E20*(1-(5-1)*Assumptions!$B$50))*Assumptions!$B$47-MIN(MAX(0,E20*(1-(5-1)*Assumptions!$B$50)),E20*Assumptions!$B$50)+'5Y Underwriting'!$G$16*C20*(1-Assumptions!$B$49)-MAX(0,E20*(1-5*Assumptions!$B$50))</f>
        <v>7710975.3401093334</v>
      </c>
      <c r="M20" s="10">
        <f t="shared" si="1"/>
        <v>4.3469526020141425E-2</v>
      </c>
    </row>
    <row r="21" spans="1:13">
      <c r="A21" s="4" t="s">
        <v>229</v>
      </c>
      <c r="B21" s="4">
        <f>$B8</f>
        <v>16</v>
      </c>
      <c r="C21" s="4">
        <f>E$6</f>
        <v>17</v>
      </c>
      <c r="D21" s="4">
        <f>'Rights Basis'!$B$11*B21</f>
        <v>17711200</v>
      </c>
      <c r="E21" s="4">
        <f>D21*Assumptions!$B$46</f>
        <v>11512280</v>
      </c>
      <c r="F21" s="4">
        <f>D21*(1+Assumptions!$B$48)-E21</f>
        <v>6464588</v>
      </c>
      <c r="G21" s="4">
        <f t="shared" si="0"/>
        <v>-6464588</v>
      </c>
      <c r="H21" s="4">
        <f>'5Y Underwriting'!C18-MAX(0,E21*(1-(1-1)*Assumptions!$B$50))*Assumptions!$B$47-MIN(MAX(0,E21*(1-(1-1)*Assumptions!$B$50)),E21*Assumptions!$B$50)</f>
        <v>40196.649999999907</v>
      </c>
      <c r="I21" s="4">
        <f>'5Y Underwriting'!D18-MAX(0,E21*(1-(2-1)*Assumptions!$B$50))*Assumptions!$B$47-MIN(MAX(0,E21*(1-(2-1)*Assumptions!$B$50)),E21*Assumptions!$B$50)</f>
        <v>56514.761874999618</v>
      </c>
      <c r="J21" s="4">
        <f>'5Y Underwriting'!E18-MAX(0,E21*(1-(3-1)*Assumptions!$B$50))*Assumptions!$B$47-MIN(MAX(0,E21*(1-(3-1)*Assumptions!$B$50)),E21*Assumptions!$B$50)</f>
        <v>73318.88236562442</v>
      </c>
      <c r="K21" s="4">
        <f>'5Y Underwriting'!F18-MAX(0,E21*(1-(4-1)*Assumptions!$B$50))*Assumptions!$B$47-MIN(MAX(0,E21*(1-(4-1)*Assumptions!$B$50)),E21*Assumptions!$B$50)</f>
        <v>90621.015956452698</v>
      </c>
      <c r="L21" s="4">
        <f>'5Y Underwriting'!G18-MAX(0,E21*(1-(5-1)*Assumptions!$B$50))*Assumptions!$B$47-MIN(MAX(0,E21*(1-(5-1)*Assumptions!$B$50)),E21*Assumptions!$B$50)+'5Y Underwriting'!$G$16*C21*(1-Assumptions!$B$49)-MAX(0,E21*(1-5*Assumptions!$B$50))</f>
        <v>8905651.7029399574</v>
      </c>
      <c r="M21" s="10">
        <f t="shared" si="1"/>
        <v>7.3370842894401767E-2</v>
      </c>
    </row>
    <row r="22" spans="1:13">
      <c r="A22" s="4" t="s">
        <v>230</v>
      </c>
      <c r="B22" s="4">
        <f>$B8</f>
        <v>16</v>
      </c>
      <c r="C22" s="4">
        <f>F$6</f>
        <v>18</v>
      </c>
      <c r="D22" s="4">
        <f>'Rights Basis'!$B$11*B22</f>
        <v>17711200</v>
      </c>
      <c r="E22" s="4">
        <f>D22*Assumptions!$B$46</f>
        <v>11512280</v>
      </c>
      <c r="F22" s="4">
        <f>D22*(1+Assumptions!$B$48)-E22</f>
        <v>6464588</v>
      </c>
      <c r="G22" s="4">
        <f t="shared" si="0"/>
        <v>-6464588</v>
      </c>
      <c r="H22" s="4">
        <f>'5Y Underwriting'!C18-MAX(0,E22*(1-(1-1)*Assumptions!$B$50))*Assumptions!$B$47-MIN(MAX(0,E22*(1-(1-1)*Assumptions!$B$50)),E22*Assumptions!$B$50)</f>
        <v>40196.649999999907</v>
      </c>
      <c r="I22" s="4">
        <f>'5Y Underwriting'!D18-MAX(0,E22*(1-(2-1)*Assumptions!$B$50))*Assumptions!$B$47-MIN(MAX(0,E22*(1-(2-1)*Assumptions!$B$50)),E22*Assumptions!$B$50)</f>
        <v>56514.761874999618</v>
      </c>
      <c r="J22" s="4">
        <f>'5Y Underwriting'!E18-MAX(0,E22*(1-(3-1)*Assumptions!$B$50))*Assumptions!$B$47-MIN(MAX(0,E22*(1-(3-1)*Assumptions!$B$50)),E22*Assumptions!$B$50)</f>
        <v>73318.88236562442</v>
      </c>
      <c r="K22" s="4">
        <f>'5Y Underwriting'!F18-MAX(0,E22*(1-(4-1)*Assumptions!$B$50))*Assumptions!$B$47-MIN(MAX(0,E22*(1-(4-1)*Assumptions!$B$50)),E22*Assumptions!$B$50)</f>
        <v>90621.015956452698</v>
      </c>
      <c r="L22" s="4">
        <f>'5Y Underwriting'!G18-MAX(0,E22*(1-(5-1)*Assumptions!$B$50))*Assumptions!$B$47-MIN(MAX(0,E22*(1-(5-1)*Assumptions!$B$50)),E22*Assumptions!$B$50)+'5Y Underwriting'!$G$16*C22*(1-Assumptions!$B$49)-MAX(0,E22*(1-5*Assumptions!$B$50))</f>
        <v>10100328.065770578</v>
      </c>
      <c r="M22" s="10">
        <f t="shared" si="1"/>
        <v>0.10024674262208055</v>
      </c>
    </row>
    <row r="23" spans="1:13">
      <c r="A23" s="4" t="s">
        <v>231</v>
      </c>
      <c r="B23" s="4">
        <f>$B8</f>
        <v>16</v>
      </c>
      <c r="C23" s="4">
        <f>G$6</f>
        <v>19</v>
      </c>
      <c r="D23" s="4">
        <f>'Rights Basis'!$B$11*B23</f>
        <v>17711200</v>
      </c>
      <c r="E23" s="4">
        <f>D23*Assumptions!$B$46</f>
        <v>11512280</v>
      </c>
      <c r="F23" s="4">
        <f>D23*(1+Assumptions!$B$48)-E23</f>
        <v>6464588</v>
      </c>
      <c r="G23" s="4">
        <f t="shared" si="0"/>
        <v>-6464588</v>
      </c>
      <c r="H23" s="4">
        <f>'5Y Underwriting'!C18-MAX(0,E23*(1-(1-1)*Assumptions!$B$50))*Assumptions!$B$47-MIN(MAX(0,E23*(1-(1-1)*Assumptions!$B$50)),E23*Assumptions!$B$50)</f>
        <v>40196.649999999907</v>
      </c>
      <c r="I23" s="4">
        <f>'5Y Underwriting'!D18-MAX(0,E23*(1-(2-1)*Assumptions!$B$50))*Assumptions!$B$47-MIN(MAX(0,E23*(1-(2-1)*Assumptions!$B$50)),E23*Assumptions!$B$50)</f>
        <v>56514.761874999618</v>
      </c>
      <c r="J23" s="4">
        <f>'5Y Underwriting'!E18-MAX(0,E23*(1-(3-1)*Assumptions!$B$50))*Assumptions!$B$47-MIN(MAX(0,E23*(1-(3-1)*Assumptions!$B$50)),E23*Assumptions!$B$50)</f>
        <v>73318.88236562442</v>
      </c>
      <c r="K23" s="4">
        <f>'5Y Underwriting'!F18-MAX(0,E23*(1-(4-1)*Assumptions!$B$50))*Assumptions!$B$47-MIN(MAX(0,E23*(1-(4-1)*Assumptions!$B$50)),E23*Assumptions!$B$50)</f>
        <v>90621.015956452698</v>
      </c>
      <c r="L23" s="4">
        <f>'5Y Underwriting'!G18-MAX(0,E23*(1-(5-1)*Assumptions!$B$50))*Assumptions!$B$47-MIN(MAX(0,E23*(1-(5-1)*Assumptions!$B$50)),E23*Assumptions!$B$50)+'5Y Underwriting'!$G$16*C23*(1-Assumptions!$B$49)-MAX(0,E23*(1-5*Assumptions!$B$50))</f>
        <v>11295004.428601202</v>
      </c>
      <c r="M23" s="10">
        <f t="shared" si="1"/>
        <v>0.12471017077450974</v>
      </c>
    </row>
    <row r="24" spans="1:13">
      <c r="A24" s="4" t="s">
        <v>232</v>
      </c>
      <c r="B24" s="4">
        <f>$B9</f>
        <v>17</v>
      </c>
      <c r="C24" s="4">
        <f>C$6</f>
        <v>15</v>
      </c>
      <c r="D24" s="4">
        <f>'Rights Basis'!$B$11*B24</f>
        <v>18818150</v>
      </c>
      <c r="E24" s="4">
        <f>D24*Assumptions!$B$46</f>
        <v>12231797.5</v>
      </c>
      <c r="F24" s="4">
        <f>D24*(1+Assumptions!$B$48)-E24</f>
        <v>6868624.75</v>
      </c>
      <c r="G24" s="4">
        <f t="shared" si="0"/>
        <v>-6868624.75</v>
      </c>
      <c r="H24" s="4">
        <f>'5Y Underwriting'!C18-MAX(0,E24*(1-(1-1)*Assumptions!$B$50))*Assumptions!$B$47-MIN(MAX(0,E24*(1-(1-1)*Assumptions!$B$50)),E24*Assumptions!$B$50)</f>
        <v>-10169.57500000007</v>
      </c>
      <c r="I24" s="4">
        <f>'5Y Underwriting'!D18-MAX(0,E24*(1-(2-1)*Assumptions!$B$50))*Assumptions!$B$47-MIN(MAX(0,E24*(1-(2-1)*Assumptions!$B$50)),E24*Assumptions!$B$50)</f>
        <v>6148.5368749996414</v>
      </c>
      <c r="J24" s="4">
        <f>'5Y Underwriting'!E18-MAX(0,E24*(1-(3-1)*Assumptions!$B$50))*Assumptions!$B$47-MIN(MAX(0,E24*(1-(3-1)*Assumptions!$B$50)),E24*Assumptions!$B$50)</f>
        <v>22952.657365624444</v>
      </c>
      <c r="K24" s="4">
        <f>'5Y Underwriting'!F18-MAX(0,E24*(1-(4-1)*Assumptions!$B$50))*Assumptions!$B$47-MIN(MAX(0,E24*(1-(4-1)*Assumptions!$B$50)),E24*Assumptions!$B$50)</f>
        <v>40254.790956452722</v>
      </c>
      <c r="L24" s="4">
        <f>'5Y Underwriting'!G18-MAX(0,E24*(1-(5-1)*Assumptions!$B$50))*Assumptions!$B$47-MIN(MAX(0,E24*(1-(5-1)*Assumptions!$B$50)),E24*Assumptions!$B$50)+'5Y Underwriting'!$G$16*C24*(1-Assumptions!$B$49)-MAX(0,E24*(1-5*Assumptions!$B$50))</f>
        <v>5746415.2522787116</v>
      </c>
      <c r="M24" s="10">
        <f t="shared" si="1"/>
        <v>-3.3140246322251432E-2</v>
      </c>
    </row>
    <row r="25" spans="1:13">
      <c r="A25" s="4" t="s">
        <v>233</v>
      </c>
      <c r="B25" s="4">
        <f>$B9</f>
        <v>17</v>
      </c>
      <c r="C25" s="4">
        <f>D$6</f>
        <v>16</v>
      </c>
      <c r="D25" s="4">
        <f>'Rights Basis'!$B$11*B25</f>
        <v>18818150</v>
      </c>
      <c r="E25" s="4">
        <f>D25*Assumptions!$B$46</f>
        <v>12231797.5</v>
      </c>
      <c r="F25" s="4">
        <f>D25*(1+Assumptions!$B$48)-E25</f>
        <v>6868624.75</v>
      </c>
      <c r="G25" s="4">
        <f t="shared" si="0"/>
        <v>-6868624.75</v>
      </c>
      <c r="H25" s="4">
        <f>'5Y Underwriting'!C18-MAX(0,E25*(1-(1-1)*Assumptions!$B$50))*Assumptions!$B$47-MIN(MAX(0,E25*(1-(1-1)*Assumptions!$B$50)),E25*Assumptions!$B$50)</f>
        <v>-10169.57500000007</v>
      </c>
      <c r="I25" s="4">
        <f>'5Y Underwriting'!D18-MAX(0,E25*(1-(2-1)*Assumptions!$B$50))*Assumptions!$B$47-MIN(MAX(0,E25*(1-(2-1)*Assumptions!$B$50)),E25*Assumptions!$B$50)</f>
        <v>6148.5368749996414</v>
      </c>
      <c r="J25" s="4">
        <f>'5Y Underwriting'!E18-MAX(0,E25*(1-(3-1)*Assumptions!$B$50))*Assumptions!$B$47-MIN(MAX(0,E25*(1-(3-1)*Assumptions!$B$50)),E25*Assumptions!$B$50)</f>
        <v>22952.657365624444</v>
      </c>
      <c r="K25" s="4">
        <f>'5Y Underwriting'!F18-MAX(0,E25*(1-(4-1)*Assumptions!$B$50))*Assumptions!$B$47-MIN(MAX(0,E25*(1-(4-1)*Assumptions!$B$50)),E25*Assumptions!$B$50)</f>
        <v>40254.790956452722</v>
      </c>
      <c r="L25" s="4">
        <f>'5Y Underwriting'!G18-MAX(0,E25*(1-(5-1)*Assumptions!$B$50))*Assumptions!$B$47-MIN(MAX(0,E25*(1-(5-1)*Assumptions!$B$50)),E25*Assumptions!$B$50)+'5Y Underwriting'!$G$16*C25*(1-Assumptions!$B$49)-MAX(0,E25*(1-5*Assumptions!$B$50))</f>
        <v>6941091.6151093356</v>
      </c>
      <c r="M25" s="10">
        <f t="shared" si="1"/>
        <v>3.8113902297967073E-3</v>
      </c>
    </row>
    <row r="26" spans="1:13">
      <c r="A26" s="4" t="s">
        <v>234</v>
      </c>
      <c r="B26" s="4">
        <f>$B9</f>
        <v>17</v>
      </c>
      <c r="C26" s="4">
        <f>E$6</f>
        <v>17</v>
      </c>
      <c r="D26" s="4">
        <f>'Rights Basis'!$B$11*B26</f>
        <v>18818150</v>
      </c>
      <c r="E26" s="4">
        <f>D26*Assumptions!$B$46</f>
        <v>12231797.5</v>
      </c>
      <c r="F26" s="4">
        <f>D26*(1+Assumptions!$B$48)-E26</f>
        <v>6868624.75</v>
      </c>
      <c r="G26" s="4">
        <f t="shared" si="0"/>
        <v>-6868624.75</v>
      </c>
      <c r="H26" s="4">
        <f>'5Y Underwriting'!C18-MAX(0,E26*(1-(1-1)*Assumptions!$B$50))*Assumptions!$B$47-MIN(MAX(0,E26*(1-(1-1)*Assumptions!$B$50)),E26*Assumptions!$B$50)</f>
        <v>-10169.57500000007</v>
      </c>
      <c r="I26" s="4">
        <f>'5Y Underwriting'!D18-MAX(0,E26*(1-(2-1)*Assumptions!$B$50))*Assumptions!$B$47-MIN(MAX(0,E26*(1-(2-1)*Assumptions!$B$50)),E26*Assumptions!$B$50)</f>
        <v>6148.5368749996414</v>
      </c>
      <c r="J26" s="4">
        <f>'5Y Underwriting'!E18-MAX(0,E26*(1-(3-1)*Assumptions!$B$50))*Assumptions!$B$47-MIN(MAX(0,E26*(1-(3-1)*Assumptions!$B$50)),E26*Assumptions!$B$50)</f>
        <v>22952.657365624444</v>
      </c>
      <c r="K26" s="4">
        <f>'5Y Underwriting'!F18-MAX(0,E26*(1-(4-1)*Assumptions!$B$50))*Assumptions!$B$47-MIN(MAX(0,E26*(1-(4-1)*Assumptions!$B$50)),E26*Assumptions!$B$50)</f>
        <v>40254.790956452722</v>
      </c>
      <c r="L26" s="4">
        <f>'5Y Underwriting'!G18-MAX(0,E26*(1-(5-1)*Assumptions!$B$50))*Assumptions!$B$47-MIN(MAX(0,E26*(1-(5-1)*Assumptions!$B$50)),E26*Assumptions!$B$50)+'5Y Underwriting'!$G$16*C26*(1-Assumptions!$B$49)-MAX(0,E26*(1-5*Assumptions!$B$50))</f>
        <v>8135767.9779399596</v>
      </c>
      <c r="M26" s="10">
        <f t="shared" si="1"/>
        <v>3.5999276313515294E-2</v>
      </c>
    </row>
    <row r="27" spans="1:13">
      <c r="A27" s="4" t="s">
        <v>235</v>
      </c>
      <c r="B27" s="4">
        <f>$B9</f>
        <v>17</v>
      </c>
      <c r="C27" s="4">
        <f>F$6</f>
        <v>18</v>
      </c>
      <c r="D27" s="4">
        <f>'Rights Basis'!$B$11*B27</f>
        <v>18818150</v>
      </c>
      <c r="E27" s="4">
        <f>D27*Assumptions!$B$46</f>
        <v>12231797.5</v>
      </c>
      <c r="F27" s="4">
        <f>D27*(1+Assumptions!$B$48)-E27</f>
        <v>6868624.75</v>
      </c>
      <c r="G27" s="4">
        <f t="shared" si="0"/>
        <v>-6868624.75</v>
      </c>
      <c r="H27" s="4">
        <f>'5Y Underwriting'!C18-MAX(0,E27*(1-(1-1)*Assumptions!$B$50))*Assumptions!$B$47-MIN(MAX(0,E27*(1-(1-1)*Assumptions!$B$50)),E27*Assumptions!$B$50)</f>
        <v>-10169.57500000007</v>
      </c>
      <c r="I27" s="4">
        <f>'5Y Underwriting'!D18-MAX(0,E27*(1-(2-1)*Assumptions!$B$50))*Assumptions!$B$47-MIN(MAX(0,E27*(1-(2-1)*Assumptions!$B$50)),E27*Assumptions!$B$50)</f>
        <v>6148.5368749996414</v>
      </c>
      <c r="J27" s="4">
        <f>'5Y Underwriting'!E18-MAX(0,E27*(1-(3-1)*Assumptions!$B$50))*Assumptions!$B$47-MIN(MAX(0,E27*(1-(3-1)*Assumptions!$B$50)),E27*Assumptions!$B$50)</f>
        <v>22952.657365624444</v>
      </c>
      <c r="K27" s="4">
        <f>'5Y Underwriting'!F18-MAX(0,E27*(1-(4-1)*Assumptions!$B$50))*Assumptions!$B$47-MIN(MAX(0,E27*(1-(4-1)*Assumptions!$B$50)),E27*Assumptions!$B$50)</f>
        <v>40254.790956452722</v>
      </c>
      <c r="L27" s="4">
        <f>'5Y Underwriting'!G18-MAX(0,E27*(1-(5-1)*Assumptions!$B$50))*Assumptions!$B$47-MIN(MAX(0,E27*(1-(5-1)*Assumptions!$B$50)),E27*Assumptions!$B$50)+'5Y Underwriting'!$G$16*C27*(1-Assumptions!$B$49)-MAX(0,E27*(1-5*Assumptions!$B$50))</f>
        <v>9330444.3407705799</v>
      </c>
      <c r="M27" s="10">
        <f t="shared" si="1"/>
        <v>6.4616278966769913E-2</v>
      </c>
    </row>
    <row r="28" spans="1:13">
      <c r="A28" s="4" t="s">
        <v>236</v>
      </c>
      <c r="B28" s="4">
        <f>$B9</f>
        <v>17</v>
      </c>
      <c r="C28" s="4">
        <f>G$6</f>
        <v>19</v>
      </c>
      <c r="D28" s="4">
        <f>'Rights Basis'!$B$11*B28</f>
        <v>18818150</v>
      </c>
      <c r="E28" s="4">
        <f>D28*Assumptions!$B$46</f>
        <v>12231797.5</v>
      </c>
      <c r="F28" s="4">
        <f>D28*(1+Assumptions!$B$48)-E28</f>
        <v>6868624.75</v>
      </c>
      <c r="G28" s="4">
        <f t="shared" si="0"/>
        <v>-6868624.75</v>
      </c>
      <c r="H28" s="4">
        <f>'5Y Underwriting'!C18-MAX(0,E28*(1-(1-1)*Assumptions!$B$50))*Assumptions!$B$47-MIN(MAX(0,E28*(1-(1-1)*Assumptions!$B$50)),E28*Assumptions!$B$50)</f>
        <v>-10169.57500000007</v>
      </c>
      <c r="I28" s="4">
        <f>'5Y Underwriting'!D18-MAX(0,E28*(1-(2-1)*Assumptions!$B$50))*Assumptions!$B$47-MIN(MAX(0,E28*(1-(2-1)*Assumptions!$B$50)),E28*Assumptions!$B$50)</f>
        <v>6148.5368749996414</v>
      </c>
      <c r="J28" s="4">
        <f>'5Y Underwriting'!E18-MAX(0,E28*(1-(3-1)*Assumptions!$B$50))*Assumptions!$B$47-MIN(MAX(0,E28*(1-(3-1)*Assumptions!$B$50)),E28*Assumptions!$B$50)</f>
        <v>22952.657365624444</v>
      </c>
      <c r="K28" s="4">
        <f>'5Y Underwriting'!F18-MAX(0,E28*(1-(4-1)*Assumptions!$B$50))*Assumptions!$B$47-MIN(MAX(0,E28*(1-(4-1)*Assumptions!$B$50)),E28*Assumptions!$B$50)</f>
        <v>40254.790956452722</v>
      </c>
      <c r="L28" s="4">
        <f>'5Y Underwriting'!G18-MAX(0,E28*(1-(5-1)*Assumptions!$B$50))*Assumptions!$B$47-MIN(MAX(0,E28*(1-(5-1)*Assumptions!$B$50)),E28*Assumptions!$B$50)+'5Y Underwriting'!$G$16*C28*(1-Assumptions!$B$49)-MAX(0,E28*(1-5*Assumptions!$B$50))</f>
        <v>10525120.703601204</v>
      </c>
      <c r="M28" s="10">
        <f t="shared" si="1"/>
        <v>9.0446677322956193E-2</v>
      </c>
    </row>
    <row r="29" spans="1:13">
      <c r="A29" s="4" t="s">
        <v>237</v>
      </c>
      <c r="B29" s="4">
        <f>$B10</f>
        <v>18</v>
      </c>
      <c r="C29" s="4">
        <f>C$6</f>
        <v>15</v>
      </c>
      <c r="D29" s="4">
        <f>'Rights Basis'!$B$11*B29</f>
        <v>19925100</v>
      </c>
      <c r="E29" s="4">
        <f>D29*Assumptions!$B$46</f>
        <v>12951315</v>
      </c>
      <c r="F29" s="4">
        <f>D29*(1+Assumptions!$B$48)-E29</f>
        <v>7272661.4999999963</v>
      </c>
      <c r="G29" s="4">
        <f t="shared" si="0"/>
        <v>-7272661.4999999963</v>
      </c>
      <c r="H29" s="4">
        <f>'5Y Underwriting'!C18-MAX(0,E29*(1-(1-1)*Assumptions!$B$50))*Assumptions!$B$47-MIN(MAX(0,E29*(1-(1-1)*Assumptions!$B$50)),E29*Assumptions!$B$50)</f>
        <v>-60535.800000000047</v>
      </c>
      <c r="I29" s="4">
        <f>'5Y Underwriting'!D18-MAX(0,E29*(1-(2-1)*Assumptions!$B$50))*Assumptions!$B$47-MIN(MAX(0,E29*(1-(2-1)*Assumptions!$B$50)),E29*Assumptions!$B$50)</f>
        <v>-44217.688125000335</v>
      </c>
      <c r="J29" s="4">
        <f>'5Y Underwriting'!E18-MAX(0,E29*(1-(3-1)*Assumptions!$B$50))*Assumptions!$B$47-MIN(MAX(0,E29*(1-(3-1)*Assumptions!$B$50)),E29*Assumptions!$B$50)</f>
        <v>-27413.567634375533</v>
      </c>
      <c r="K29" s="4">
        <f>'5Y Underwriting'!F18-MAX(0,E29*(1-(4-1)*Assumptions!$B$50))*Assumptions!$B$47-MIN(MAX(0,E29*(1-(4-1)*Assumptions!$B$50)),E29*Assumptions!$B$50)</f>
        <v>-10111.434043547255</v>
      </c>
      <c r="L29" s="4">
        <f>'5Y Underwriting'!G18-MAX(0,E29*(1-(5-1)*Assumptions!$B$50))*Assumptions!$B$47-MIN(MAX(0,E29*(1-(5-1)*Assumptions!$B$50)),E29*Assumptions!$B$50)+'5Y Underwriting'!$G$16*C29*(1-Assumptions!$B$49)-MAX(0,E29*(1-5*Assumptions!$B$50))</f>
        <v>4976531.5272787102</v>
      </c>
      <c r="M29" s="10">
        <f t="shared" si="1"/>
        <v>-7.7254315129101969E-2</v>
      </c>
    </row>
    <row r="30" spans="1:13">
      <c r="A30" s="4" t="s">
        <v>238</v>
      </c>
      <c r="B30" s="4">
        <f>$B10</f>
        <v>18</v>
      </c>
      <c r="C30" s="4">
        <f>D$6</f>
        <v>16</v>
      </c>
      <c r="D30" s="4">
        <f>'Rights Basis'!$B$11*B30</f>
        <v>19925100</v>
      </c>
      <c r="E30" s="4">
        <f>D30*Assumptions!$B$46</f>
        <v>12951315</v>
      </c>
      <c r="F30" s="4">
        <f>D30*(1+Assumptions!$B$48)-E30</f>
        <v>7272661.4999999963</v>
      </c>
      <c r="G30" s="4">
        <f t="shared" si="0"/>
        <v>-7272661.4999999963</v>
      </c>
      <c r="H30" s="4">
        <f>'5Y Underwriting'!C18-MAX(0,E30*(1-(1-1)*Assumptions!$B$50))*Assumptions!$B$47-MIN(MAX(0,E30*(1-(1-1)*Assumptions!$B$50)),E30*Assumptions!$B$50)</f>
        <v>-60535.800000000047</v>
      </c>
      <c r="I30" s="4">
        <f>'5Y Underwriting'!D18-MAX(0,E30*(1-(2-1)*Assumptions!$B$50))*Assumptions!$B$47-MIN(MAX(0,E30*(1-(2-1)*Assumptions!$B$50)),E30*Assumptions!$B$50)</f>
        <v>-44217.688125000335</v>
      </c>
      <c r="J30" s="4">
        <f>'5Y Underwriting'!E18-MAX(0,E30*(1-(3-1)*Assumptions!$B$50))*Assumptions!$B$47-MIN(MAX(0,E30*(1-(3-1)*Assumptions!$B$50)),E30*Assumptions!$B$50)</f>
        <v>-27413.567634375533</v>
      </c>
      <c r="K30" s="4">
        <f>'5Y Underwriting'!F18-MAX(0,E30*(1-(4-1)*Assumptions!$B$50))*Assumptions!$B$47-MIN(MAX(0,E30*(1-(4-1)*Assumptions!$B$50)),E30*Assumptions!$B$50)</f>
        <v>-10111.434043547255</v>
      </c>
      <c r="L30" s="4">
        <f>'5Y Underwriting'!G18-MAX(0,E30*(1-(5-1)*Assumptions!$B$50))*Assumptions!$B$47-MIN(MAX(0,E30*(1-(5-1)*Assumptions!$B$50)),E30*Assumptions!$B$50)+'5Y Underwriting'!$G$16*C30*(1-Assumptions!$B$49)-MAX(0,E30*(1-5*Assumptions!$B$50))</f>
        <v>6171207.8901093341</v>
      </c>
      <c r="M30" s="10">
        <f t="shared" si="1"/>
        <v>-3.6327474759039413E-2</v>
      </c>
    </row>
    <row r="31" spans="1:13">
      <c r="A31" s="4" t="s">
        <v>239</v>
      </c>
      <c r="B31" s="4">
        <f>$B10</f>
        <v>18</v>
      </c>
      <c r="C31" s="4">
        <f>E$6</f>
        <v>17</v>
      </c>
      <c r="D31" s="4">
        <f>'Rights Basis'!$B$11*B31</f>
        <v>19925100</v>
      </c>
      <c r="E31" s="4">
        <f>D31*Assumptions!$B$46</f>
        <v>12951315</v>
      </c>
      <c r="F31" s="4">
        <f>D31*(1+Assumptions!$B$48)-E31</f>
        <v>7272661.4999999963</v>
      </c>
      <c r="G31" s="4">
        <f t="shared" si="0"/>
        <v>-7272661.4999999963</v>
      </c>
      <c r="H31" s="4">
        <f>'5Y Underwriting'!C18-MAX(0,E31*(1-(1-1)*Assumptions!$B$50))*Assumptions!$B$47-MIN(MAX(0,E31*(1-(1-1)*Assumptions!$B$50)),E31*Assumptions!$B$50)</f>
        <v>-60535.800000000047</v>
      </c>
      <c r="I31" s="4">
        <f>'5Y Underwriting'!D18-MAX(0,E31*(1-(2-1)*Assumptions!$B$50))*Assumptions!$B$47-MIN(MAX(0,E31*(1-(2-1)*Assumptions!$B$50)),E31*Assumptions!$B$50)</f>
        <v>-44217.688125000335</v>
      </c>
      <c r="J31" s="4">
        <f>'5Y Underwriting'!E18-MAX(0,E31*(1-(3-1)*Assumptions!$B$50))*Assumptions!$B$47-MIN(MAX(0,E31*(1-(3-1)*Assumptions!$B$50)),E31*Assumptions!$B$50)</f>
        <v>-27413.567634375533</v>
      </c>
      <c r="K31" s="4">
        <f>'5Y Underwriting'!F18-MAX(0,E31*(1-(4-1)*Assumptions!$B$50))*Assumptions!$B$47-MIN(MAX(0,E31*(1-(4-1)*Assumptions!$B$50)),E31*Assumptions!$B$50)</f>
        <v>-10111.434043547255</v>
      </c>
      <c r="L31" s="4">
        <f>'5Y Underwriting'!G18-MAX(0,E31*(1-(5-1)*Assumptions!$B$50))*Assumptions!$B$47-MIN(MAX(0,E31*(1-(5-1)*Assumptions!$B$50)),E31*Assumptions!$B$50)+'5Y Underwriting'!$G$16*C31*(1-Assumptions!$B$49)-MAX(0,E31*(1-5*Assumptions!$B$50))</f>
        <v>7365884.2529399581</v>
      </c>
      <c r="M31" s="10">
        <f t="shared" si="1"/>
        <v>-1.3364764509142812E-3</v>
      </c>
    </row>
    <row r="32" spans="1:13">
      <c r="A32" s="4" t="s">
        <v>240</v>
      </c>
      <c r="B32" s="4">
        <f>$B10</f>
        <v>18</v>
      </c>
      <c r="C32" s="4">
        <f>F$6</f>
        <v>18</v>
      </c>
      <c r="D32" s="4">
        <f>'Rights Basis'!$B$11*B32</f>
        <v>19925100</v>
      </c>
      <c r="E32" s="4">
        <f>D32*Assumptions!$B$46</f>
        <v>12951315</v>
      </c>
      <c r="F32" s="4">
        <f>D32*(1+Assumptions!$B$48)-E32</f>
        <v>7272661.4999999963</v>
      </c>
      <c r="G32" s="4">
        <f t="shared" si="0"/>
        <v>-7272661.4999999963</v>
      </c>
      <c r="H32" s="4">
        <f>'5Y Underwriting'!C18-MAX(0,E32*(1-(1-1)*Assumptions!$B$50))*Assumptions!$B$47-MIN(MAX(0,E32*(1-(1-1)*Assumptions!$B$50)),E32*Assumptions!$B$50)</f>
        <v>-60535.800000000047</v>
      </c>
      <c r="I32" s="4">
        <f>'5Y Underwriting'!D18-MAX(0,E32*(1-(2-1)*Assumptions!$B$50))*Assumptions!$B$47-MIN(MAX(0,E32*(1-(2-1)*Assumptions!$B$50)),E32*Assumptions!$B$50)</f>
        <v>-44217.688125000335</v>
      </c>
      <c r="J32" s="4">
        <f>'5Y Underwriting'!E18-MAX(0,E32*(1-(3-1)*Assumptions!$B$50))*Assumptions!$B$47-MIN(MAX(0,E32*(1-(3-1)*Assumptions!$B$50)),E32*Assumptions!$B$50)</f>
        <v>-27413.567634375533</v>
      </c>
      <c r="K32" s="4">
        <f>'5Y Underwriting'!F18-MAX(0,E32*(1-(4-1)*Assumptions!$B$50))*Assumptions!$B$47-MIN(MAX(0,E32*(1-(4-1)*Assumptions!$B$50)),E32*Assumptions!$B$50)</f>
        <v>-10111.434043547255</v>
      </c>
      <c r="L32" s="4">
        <f>'5Y Underwriting'!G18-MAX(0,E32*(1-(5-1)*Assumptions!$B$50))*Assumptions!$B$47-MIN(MAX(0,E32*(1-(5-1)*Assumptions!$B$50)),E32*Assumptions!$B$50)+'5Y Underwriting'!$G$16*C32*(1-Assumptions!$B$49)-MAX(0,E32*(1-5*Assumptions!$B$50))</f>
        <v>8560560.6157705784</v>
      </c>
      <c r="M32" s="10">
        <f t="shared" si="1"/>
        <v>2.9361600821257161E-2</v>
      </c>
    </row>
    <row r="33" spans="1:13">
      <c r="A33" s="4" t="s">
        <v>241</v>
      </c>
      <c r="B33" s="4">
        <f>$B10</f>
        <v>18</v>
      </c>
      <c r="C33" s="4">
        <f>G$6</f>
        <v>19</v>
      </c>
      <c r="D33" s="4">
        <f>'Rights Basis'!$B$11*B33</f>
        <v>19925100</v>
      </c>
      <c r="E33" s="4">
        <f>D33*Assumptions!$B$46</f>
        <v>12951315</v>
      </c>
      <c r="F33" s="4">
        <f>D33*(1+Assumptions!$B$48)-E33</f>
        <v>7272661.4999999963</v>
      </c>
      <c r="G33" s="4">
        <f t="shared" si="0"/>
        <v>-7272661.4999999963</v>
      </c>
      <c r="H33" s="4">
        <f>'5Y Underwriting'!C18-MAX(0,E33*(1-(1-1)*Assumptions!$B$50))*Assumptions!$B$47-MIN(MAX(0,E33*(1-(1-1)*Assumptions!$B$50)),E33*Assumptions!$B$50)</f>
        <v>-60535.800000000047</v>
      </c>
      <c r="I33" s="4">
        <f>'5Y Underwriting'!D18-MAX(0,E33*(1-(2-1)*Assumptions!$B$50))*Assumptions!$B$47-MIN(MAX(0,E33*(1-(2-1)*Assumptions!$B$50)),E33*Assumptions!$B$50)</f>
        <v>-44217.688125000335</v>
      </c>
      <c r="J33" s="4">
        <f>'5Y Underwriting'!E18-MAX(0,E33*(1-(3-1)*Assumptions!$B$50))*Assumptions!$B$47-MIN(MAX(0,E33*(1-(3-1)*Assumptions!$B$50)),E33*Assumptions!$B$50)</f>
        <v>-27413.567634375533</v>
      </c>
      <c r="K33" s="4">
        <f>'5Y Underwriting'!F18-MAX(0,E33*(1-(4-1)*Assumptions!$B$50))*Assumptions!$B$47-MIN(MAX(0,E33*(1-(4-1)*Assumptions!$B$50)),E33*Assumptions!$B$50)</f>
        <v>-10111.434043547255</v>
      </c>
      <c r="L33" s="4">
        <f>'5Y Underwriting'!G18-MAX(0,E33*(1-(5-1)*Assumptions!$B$50))*Assumptions!$B$47-MIN(MAX(0,E33*(1-(5-1)*Assumptions!$B$50)),E33*Assumptions!$B$50)+'5Y Underwriting'!$G$16*C33*(1-Assumptions!$B$49)-MAX(0,E33*(1-5*Assumptions!$B$50))</f>
        <v>9755236.9786012024</v>
      </c>
      <c r="M33" s="10">
        <f t="shared" si="1"/>
        <v>5.6795624656256649E-2</v>
      </c>
    </row>
    <row r="34" spans="1:13">
      <c r="A34" s="4" t="s">
        <v>242</v>
      </c>
      <c r="B34" s="4">
        <f>$B11</f>
        <v>19</v>
      </c>
      <c r="C34" s="4">
        <f>C$6</f>
        <v>15</v>
      </c>
      <c r="D34" s="4">
        <f>'Rights Basis'!$B$11*B34</f>
        <v>21032050</v>
      </c>
      <c r="E34" s="4">
        <f>D34*Assumptions!$B$46</f>
        <v>13670832.5</v>
      </c>
      <c r="F34" s="4">
        <f>D34*(1+Assumptions!$B$48)-E34</f>
        <v>7676698.2499999963</v>
      </c>
      <c r="G34" s="4">
        <f t="shared" si="0"/>
        <v>-7676698.2499999963</v>
      </c>
      <c r="H34" s="4">
        <f>'5Y Underwriting'!C18-MAX(0,E34*(1-(1-1)*Assumptions!$B$50))*Assumptions!$B$47-MIN(MAX(0,E34*(1-(1-1)*Assumptions!$B$50)),E34*Assumptions!$B$50)</f>
        <v>-110902.02500000014</v>
      </c>
      <c r="I34" s="4">
        <f>'5Y Underwriting'!D18-MAX(0,E34*(1-(2-1)*Assumptions!$B$50))*Assumptions!$B$47-MIN(MAX(0,E34*(1-(2-1)*Assumptions!$B$50)),E34*Assumptions!$B$50)</f>
        <v>-94583.913125000428</v>
      </c>
      <c r="J34" s="4">
        <f>'5Y Underwriting'!E18-MAX(0,E34*(1-(3-1)*Assumptions!$B$50))*Assumptions!$B$47-MIN(MAX(0,E34*(1-(3-1)*Assumptions!$B$50)),E34*Assumptions!$B$50)</f>
        <v>-77779.792634375626</v>
      </c>
      <c r="K34" s="4">
        <f>'5Y Underwriting'!F18-MAX(0,E34*(1-(4-1)*Assumptions!$B$50))*Assumptions!$B$47-MIN(MAX(0,E34*(1-(4-1)*Assumptions!$B$50)),E34*Assumptions!$B$50)</f>
        <v>-60477.659043547348</v>
      </c>
      <c r="L34" s="4">
        <f>'5Y Underwriting'!G18-MAX(0,E34*(1-(5-1)*Assumptions!$B$50))*Assumptions!$B$47-MIN(MAX(0,E34*(1-(5-1)*Assumptions!$B$50)),E34*Assumptions!$B$50)+'5Y Underwriting'!$G$16*C34*(1-Assumptions!$B$49)-MAX(0,E34*(1-5*Assumptions!$B$50))</f>
        <v>4206647.8022787124</v>
      </c>
      <c r="M34" s="10">
        <f t="shared" si="1"/>
        <v>-0.12378149837838615</v>
      </c>
    </row>
    <row r="35" spans="1:13">
      <c r="A35" s="4" t="s">
        <v>243</v>
      </c>
      <c r="B35" s="4">
        <f>$B11</f>
        <v>19</v>
      </c>
      <c r="C35" s="4">
        <f>D$6</f>
        <v>16</v>
      </c>
      <c r="D35" s="4">
        <f>'Rights Basis'!$B$11*B35</f>
        <v>21032050</v>
      </c>
      <c r="E35" s="4">
        <f>D35*Assumptions!$B$46</f>
        <v>13670832.5</v>
      </c>
      <c r="F35" s="4">
        <f>D35*(1+Assumptions!$B$48)-E35</f>
        <v>7676698.2499999963</v>
      </c>
      <c r="G35" s="4">
        <f t="shared" si="0"/>
        <v>-7676698.2499999963</v>
      </c>
      <c r="H35" s="4">
        <f>'5Y Underwriting'!C18-MAX(0,E35*(1-(1-1)*Assumptions!$B$50))*Assumptions!$B$47-MIN(MAX(0,E35*(1-(1-1)*Assumptions!$B$50)),E35*Assumptions!$B$50)</f>
        <v>-110902.02500000014</v>
      </c>
      <c r="I35" s="4">
        <f>'5Y Underwriting'!D18-MAX(0,E35*(1-(2-1)*Assumptions!$B$50))*Assumptions!$B$47-MIN(MAX(0,E35*(1-(2-1)*Assumptions!$B$50)),E35*Assumptions!$B$50)</f>
        <v>-94583.913125000428</v>
      </c>
      <c r="J35" s="4">
        <f>'5Y Underwriting'!E18-MAX(0,E35*(1-(3-1)*Assumptions!$B$50))*Assumptions!$B$47-MIN(MAX(0,E35*(1-(3-1)*Assumptions!$B$50)),E35*Assumptions!$B$50)</f>
        <v>-77779.792634375626</v>
      </c>
      <c r="K35" s="4">
        <f>'5Y Underwriting'!F18-MAX(0,E35*(1-(4-1)*Assumptions!$B$50))*Assumptions!$B$47-MIN(MAX(0,E35*(1-(4-1)*Assumptions!$B$50)),E35*Assumptions!$B$50)</f>
        <v>-60477.659043547348</v>
      </c>
      <c r="L35" s="4">
        <f>'5Y Underwriting'!G18-MAX(0,E35*(1-(5-1)*Assumptions!$B$50))*Assumptions!$B$47-MIN(MAX(0,E35*(1-(5-1)*Assumptions!$B$50)),E35*Assumptions!$B$50)+'5Y Underwriting'!$G$16*C35*(1-Assumptions!$B$49)-MAX(0,E35*(1-5*Assumptions!$B$50))</f>
        <v>5401324.1651093364</v>
      </c>
      <c r="M35" s="10">
        <f t="shared" si="1"/>
        <v>-7.7637013509753272E-2</v>
      </c>
    </row>
    <row r="36" spans="1:13">
      <c r="A36" s="4" t="s">
        <v>244</v>
      </c>
      <c r="B36" s="4">
        <f>$B11</f>
        <v>19</v>
      </c>
      <c r="C36" s="4">
        <f>E$6</f>
        <v>17</v>
      </c>
      <c r="D36" s="4">
        <f>'Rights Basis'!$B$11*B36</f>
        <v>21032050</v>
      </c>
      <c r="E36" s="4">
        <f>D36*Assumptions!$B$46</f>
        <v>13670832.5</v>
      </c>
      <c r="F36" s="4">
        <f>D36*(1+Assumptions!$B$48)-E36</f>
        <v>7676698.2499999963</v>
      </c>
      <c r="G36" s="4">
        <f t="shared" si="0"/>
        <v>-7676698.2499999963</v>
      </c>
      <c r="H36" s="4">
        <f>'5Y Underwriting'!C18-MAX(0,E36*(1-(1-1)*Assumptions!$B$50))*Assumptions!$B$47-MIN(MAX(0,E36*(1-(1-1)*Assumptions!$B$50)),E36*Assumptions!$B$50)</f>
        <v>-110902.02500000014</v>
      </c>
      <c r="I36" s="4">
        <f>'5Y Underwriting'!D18-MAX(0,E36*(1-(2-1)*Assumptions!$B$50))*Assumptions!$B$47-MIN(MAX(0,E36*(1-(2-1)*Assumptions!$B$50)),E36*Assumptions!$B$50)</f>
        <v>-94583.913125000428</v>
      </c>
      <c r="J36" s="4">
        <f>'5Y Underwriting'!E18-MAX(0,E36*(1-(3-1)*Assumptions!$B$50))*Assumptions!$B$47-MIN(MAX(0,E36*(1-(3-1)*Assumptions!$B$50)),E36*Assumptions!$B$50)</f>
        <v>-77779.792634375626</v>
      </c>
      <c r="K36" s="4">
        <f>'5Y Underwriting'!F18-MAX(0,E36*(1-(4-1)*Assumptions!$B$50))*Assumptions!$B$47-MIN(MAX(0,E36*(1-(4-1)*Assumptions!$B$50)),E36*Assumptions!$B$50)</f>
        <v>-60477.659043547348</v>
      </c>
      <c r="L36" s="4">
        <f>'5Y Underwriting'!G18-MAX(0,E36*(1-(5-1)*Assumptions!$B$50))*Assumptions!$B$47-MIN(MAX(0,E36*(1-(5-1)*Assumptions!$B$50)),E36*Assumptions!$B$50)+'5Y Underwriting'!$G$16*C36*(1-Assumptions!$B$49)-MAX(0,E36*(1-5*Assumptions!$B$50))</f>
        <v>6596000.5279399604</v>
      </c>
      <c r="M36" s="10">
        <f t="shared" si="1"/>
        <v>-3.9134542185081944E-2</v>
      </c>
    </row>
    <row r="37" spans="1:13">
      <c r="A37" s="4" t="s">
        <v>245</v>
      </c>
      <c r="B37" s="4">
        <f>$B11</f>
        <v>19</v>
      </c>
      <c r="C37" s="4">
        <f>F$6</f>
        <v>18</v>
      </c>
      <c r="D37" s="4">
        <f>'Rights Basis'!$B$11*B37</f>
        <v>21032050</v>
      </c>
      <c r="E37" s="4">
        <f>D37*Assumptions!$B$46</f>
        <v>13670832.5</v>
      </c>
      <c r="F37" s="4">
        <f>D37*(1+Assumptions!$B$48)-E37</f>
        <v>7676698.2499999963</v>
      </c>
      <c r="G37" s="4">
        <f t="shared" si="0"/>
        <v>-7676698.2499999963</v>
      </c>
      <c r="H37" s="4">
        <f>'5Y Underwriting'!C18-MAX(0,E37*(1-(1-1)*Assumptions!$B$50))*Assumptions!$B$47-MIN(MAX(0,E37*(1-(1-1)*Assumptions!$B$50)),E37*Assumptions!$B$50)</f>
        <v>-110902.02500000014</v>
      </c>
      <c r="I37" s="4">
        <f>'5Y Underwriting'!D18-MAX(0,E37*(1-(2-1)*Assumptions!$B$50))*Assumptions!$B$47-MIN(MAX(0,E37*(1-(2-1)*Assumptions!$B$50)),E37*Assumptions!$B$50)</f>
        <v>-94583.913125000428</v>
      </c>
      <c r="J37" s="4">
        <f>'5Y Underwriting'!E18-MAX(0,E37*(1-(3-1)*Assumptions!$B$50))*Assumptions!$B$47-MIN(MAX(0,E37*(1-(3-1)*Assumptions!$B$50)),E37*Assumptions!$B$50)</f>
        <v>-77779.792634375626</v>
      </c>
      <c r="K37" s="4">
        <f>'5Y Underwriting'!F18-MAX(0,E37*(1-(4-1)*Assumptions!$B$50))*Assumptions!$B$47-MIN(MAX(0,E37*(1-(4-1)*Assumptions!$B$50)),E37*Assumptions!$B$50)</f>
        <v>-60477.659043547348</v>
      </c>
      <c r="L37" s="4">
        <f>'5Y Underwriting'!G18-MAX(0,E37*(1-(5-1)*Assumptions!$B$50))*Assumptions!$B$47-MIN(MAX(0,E37*(1-(5-1)*Assumptions!$B$50)),E37*Assumptions!$B$50)+'5Y Underwriting'!$G$16*C37*(1-Assumptions!$B$49)-MAX(0,E37*(1-5*Assumptions!$B$50))</f>
        <v>7790676.8907705806</v>
      </c>
      <c r="M37" s="10">
        <f t="shared" si="1"/>
        <v>-5.9111485564935506E-3</v>
      </c>
    </row>
    <row r="38" spans="1:13">
      <c r="A38" s="4" t="s">
        <v>246</v>
      </c>
      <c r="B38" s="4">
        <f>$B11</f>
        <v>19</v>
      </c>
      <c r="C38" s="4">
        <f>G$6</f>
        <v>19</v>
      </c>
      <c r="D38" s="4">
        <f>'Rights Basis'!$B$11*B38</f>
        <v>21032050</v>
      </c>
      <c r="E38" s="4">
        <f>D38*Assumptions!$B$46</f>
        <v>13670832.5</v>
      </c>
      <c r="F38" s="4">
        <f>D38*(1+Assumptions!$B$48)-E38</f>
        <v>7676698.2499999963</v>
      </c>
      <c r="G38" s="4">
        <f t="shared" si="0"/>
        <v>-7676698.2499999963</v>
      </c>
      <c r="H38" s="4">
        <f>'5Y Underwriting'!C18-MAX(0,E38*(1-(1-1)*Assumptions!$B$50))*Assumptions!$B$47-MIN(MAX(0,E38*(1-(1-1)*Assumptions!$B$50)),E38*Assumptions!$B$50)</f>
        <v>-110902.02500000014</v>
      </c>
      <c r="I38" s="4">
        <f>'5Y Underwriting'!D18-MAX(0,E38*(1-(2-1)*Assumptions!$B$50))*Assumptions!$B$47-MIN(MAX(0,E38*(1-(2-1)*Assumptions!$B$50)),E38*Assumptions!$B$50)</f>
        <v>-94583.913125000428</v>
      </c>
      <c r="J38" s="4">
        <f>'5Y Underwriting'!E18-MAX(0,E38*(1-(3-1)*Assumptions!$B$50))*Assumptions!$B$47-MIN(MAX(0,E38*(1-(3-1)*Assumptions!$B$50)),E38*Assumptions!$B$50)</f>
        <v>-77779.792634375626</v>
      </c>
      <c r="K38" s="4">
        <f>'5Y Underwriting'!F18-MAX(0,E38*(1-(4-1)*Assumptions!$B$50))*Assumptions!$B$47-MIN(MAX(0,E38*(1-(4-1)*Assumptions!$B$50)),E38*Assumptions!$B$50)</f>
        <v>-60477.659043547348</v>
      </c>
      <c r="L38" s="4">
        <f>'5Y Underwriting'!G18-MAX(0,E38*(1-(5-1)*Assumptions!$B$50))*Assumptions!$B$47-MIN(MAX(0,E38*(1-(5-1)*Assumptions!$B$50)),E38*Assumptions!$B$50)+'5Y Underwriting'!$G$16*C38*(1-Assumptions!$B$49)-MAX(0,E38*(1-5*Assumptions!$B$50))</f>
        <v>8985353.2536012046</v>
      </c>
      <c r="M38" s="10">
        <f t="shared" si="1"/>
        <v>2.3424675596640521E-2</v>
      </c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0"/>
    </row>
    <row r="40" spans="1:13" s="34" customForma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45"/>
    </row>
    <row r="41" spans="1:13" s="34" customFormat="1">
      <c r="A41" s="37" t="s">
        <v>247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58"/>
    </row>
    <row r="42" spans="1:13" s="34" customForma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45"/>
    </row>
    <row r="43" spans="1:13">
      <c r="A43" s="4" t="s">
        <v>248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0"/>
    </row>
    <row r="44" spans="1:13">
      <c r="A44" s="4"/>
      <c r="B44" s="4"/>
      <c r="C44" s="10">
        <f>Assumptions!$B$47+(0-2)*0.01</f>
        <v>0.05</v>
      </c>
      <c r="D44" s="10">
        <f>Assumptions!$B$47+(1-2)*0.01</f>
        <v>6.0000000000000005E-2</v>
      </c>
      <c r="E44" s="10">
        <f>Assumptions!$B$47+(2-2)*0.01</f>
        <v>7.0000000000000007E-2</v>
      </c>
      <c r="F44" s="10">
        <f>Assumptions!$B$47+(3-2)*0.01</f>
        <v>0.08</v>
      </c>
      <c r="G44" s="10">
        <f>Assumptions!$B$47+(4-2)*0.01</f>
        <v>9.0000000000000011E-2</v>
      </c>
      <c r="H44" s="4"/>
      <c r="I44" s="4"/>
      <c r="J44" s="4"/>
      <c r="K44" s="4"/>
      <c r="L44" s="4"/>
      <c r="M44" s="10"/>
    </row>
    <row r="45" spans="1:13">
      <c r="A45" s="4"/>
      <c r="B45" s="10">
        <f>Assumptions!$B$46+(0-2)*0.05</f>
        <v>0.55000000000000004</v>
      </c>
      <c r="C45" s="10">
        <f>M52</f>
        <v>6.5392242395356348E-2</v>
      </c>
      <c r="D45" s="10">
        <f>M53</f>
        <v>5.4155569194494824E-2</v>
      </c>
      <c r="E45" s="10">
        <f>M54</f>
        <v>4.2931526002632836E-2</v>
      </c>
      <c r="F45" s="10">
        <f>M55</f>
        <v>3.1720296121160674E-2</v>
      </c>
      <c r="G45" s="10">
        <f>M56</f>
        <v>2.052205960939113E-2</v>
      </c>
      <c r="H45" s="4"/>
      <c r="I45" s="4"/>
      <c r="J45" s="4"/>
      <c r="K45" s="4"/>
      <c r="L45" s="4"/>
      <c r="M45" s="10"/>
    </row>
    <row r="46" spans="1:13">
      <c r="A46" s="4"/>
      <c r="B46" s="10">
        <f>Assumptions!$B$46+(1-2)*0.05</f>
        <v>0.6</v>
      </c>
      <c r="C46" s="10">
        <f>M57</f>
        <v>6.714472912904812E-2</v>
      </c>
      <c r="D46" s="10">
        <f>M58</f>
        <v>5.349106522619107E-2</v>
      </c>
      <c r="E46" s="10">
        <f>M59</f>
        <v>3.9858181521923663E-2</v>
      </c>
      <c r="F46" s="10">
        <f>M60</f>
        <v>2.6246433066940078E-2</v>
      </c>
      <c r="G46" s="10">
        <f>M61</f>
        <v>1.2656166229384258E-2</v>
      </c>
      <c r="H46" s="4"/>
      <c r="I46" s="4"/>
      <c r="J46" s="4"/>
      <c r="K46" s="4"/>
      <c r="L46" s="4"/>
      <c r="M46" s="10"/>
    </row>
    <row r="47" spans="1:13">
      <c r="A47" s="4"/>
      <c r="B47" s="10">
        <f>Assumptions!$B$46+(2-2)*0.05</f>
        <v>0.65</v>
      </c>
      <c r="C47" s="10">
        <f>M62</f>
        <v>6.9348085596456999E-2</v>
      </c>
      <c r="D47" s="10">
        <f>M63</f>
        <v>5.2656149086141468E-2</v>
      </c>
      <c r="E47" s="10">
        <f>M64</f>
        <v>3.5999276313515294E-2</v>
      </c>
      <c r="F47" s="10">
        <f>M65</f>
        <v>1.9378169725045025E-2</v>
      </c>
      <c r="G47" s="10">
        <f>M66</f>
        <v>2.793507395278283E-3</v>
      </c>
      <c r="H47" s="4"/>
      <c r="I47" s="4"/>
      <c r="J47" s="4"/>
      <c r="K47" s="4"/>
      <c r="L47" s="4"/>
      <c r="M47" s="10"/>
    </row>
    <row r="48" spans="1:13">
      <c r="A48" s="4"/>
      <c r="B48" s="10">
        <f>Assumptions!$B$46+(3-2)*0.05</f>
        <v>0.70000000000000007</v>
      </c>
      <c r="C48" s="10">
        <f>M67</f>
        <v>7.2202304141008922E-2</v>
      </c>
      <c r="D48" s="10">
        <f>M68</f>
        <v>5.1575671479412444E-2</v>
      </c>
      <c r="E48" s="10">
        <f>M69</f>
        <v>3.1010500678498198E-2</v>
      </c>
      <c r="F48" s="10">
        <f>M70</f>
        <v>1.0508227921992797E-2</v>
      </c>
      <c r="G48" s="10">
        <f>M71</f>
        <v>-9.929784020095811E-3</v>
      </c>
      <c r="H48" s="4"/>
      <c r="I48" s="4"/>
      <c r="J48" s="4"/>
      <c r="K48" s="4"/>
      <c r="L48" s="4"/>
      <c r="M48" s="10"/>
    </row>
    <row r="49" spans="1:13">
      <c r="A49" s="4"/>
      <c r="B49" s="10">
        <f>Assumptions!$B$46+(4-2)*0.05</f>
        <v>0.75</v>
      </c>
      <c r="C49" s="10">
        <f>M72</f>
        <v>7.6046473005310533E-2</v>
      </c>
      <c r="D49" s="10">
        <f>M73</f>
        <v>5.0122726103005943E-2</v>
      </c>
      <c r="E49" s="10">
        <f>M74</f>
        <v>2.4312877269780042E-2</v>
      </c>
      <c r="F49" s="10">
        <f>M75</f>
        <v>-1.3800009302761262E-3</v>
      </c>
      <c r="G49" s="10">
        <f>M76</f>
        <v>-2.6953080706768939E-2</v>
      </c>
      <c r="H49" s="4"/>
      <c r="I49" s="4"/>
      <c r="J49" s="4"/>
      <c r="K49" s="4"/>
      <c r="L49" s="4"/>
      <c r="M49" s="10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0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0"/>
    </row>
    <row r="52" spans="1:13">
      <c r="A52" s="4" t="s">
        <v>249</v>
      </c>
      <c r="B52" s="4">
        <f>$B45</f>
        <v>0.55000000000000004</v>
      </c>
      <c r="C52" s="4">
        <f>C$44</f>
        <v>0.05</v>
      </c>
      <c r="D52" s="4">
        <f>'Sources &amp; Uses'!$B$7</f>
        <v>18818150</v>
      </c>
      <c r="E52" s="4">
        <f t="shared" ref="E52:E76" si="2">D52*B52</f>
        <v>10349982.5</v>
      </c>
      <c r="F52" s="4">
        <f>D52*(1+Assumptions!$B$48)-E52</f>
        <v>8750439.75</v>
      </c>
      <c r="G52" s="4">
        <f t="shared" ref="G52:G76" si="3">-F52</f>
        <v>-8750439.75</v>
      </c>
      <c r="H52" s="4">
        <f>'5Y Underwriting'!C18-MAX(0,E52*(1-(1-1)*Assumptions!$B$50))*C52-MIN(MAX(0,E52*(1-(1-1)*Assumptions!$B$50)),E52*Assumptions!$B$50)</f>
        <v>328557.125</v>
      </c>
      <c r="I52" s="4">
        <f>'5Y Underwriting'!D18-MAX(0,E52*(1-(2-1)*Assumptions!$B$50))*C52-MIN(MAX(0,E52*(1-(2-1)*Assumptions!$B$50)),E52*Assumptions!$B$50)</f>
        <v>344875.23687499971</v>
      </c>
      <c r="J52" s="4">
        <f>'5Y Underwriting'!E18-MAX(0,E52*(1-(3-1)*Assumptions!$B$50))*C52-MIN(MAX(0,E52*(1-(3-1)*Assumptions!$B$50)),E52*Assumptions!$B$50)</f>
        <v>361679.35736562451</v>
      </c>
      <c r="K52" s="4">
        <f>'5Y Underwriting'!F18-MAX(0,E52*(1-(4-1)*Assumptions!$B$50))*C52-MIN(MAX(0,E52*(1-(4-1)*Assumptions!$B$50)),E52*Assumptions!$B$50)</f>
        <v>378981.49095645279</v>
      </c>
      <c r="L52" s="4">
        <f>'5Y Underwriting'!G18-MAX(0,E52*(1-(5-1)*Assumptions!$B$50))*C52-MIN(MAX(0,E52*(1-(5-1)*Assumptions!$B$50)),E52*Assumptions!$B$50)+'5Y Underwriting'!$G$16*Assumptions!$B$45*(1-Assumptions!$B$49)-MAX(0,E52*(1-5*Assumptions!$B$50))</f>
        <v>10356309.677939959</v>
      </c>
      <c r="M52" s="10">
        <f t="shared" ref="M52:M76" si="4">IFERROR(IRR(G52:L52),0)</f>
        <v>6.5392242395356348E-2</v>
      </c>
    </row>
    <row r="53" spans="1:13">
      <c r="A53" s="4" t="s">
        <v>250</v>
      </c>
      <c r="B53" s="4">
        <f>$B45</f>
        <v>0.55000000000000004</v>
      </c>
      <c r="C53" s="4">
        <f>D$44</f>
        <v>6.0000000000000005E-2</v>
      </c>
      <c r="D53" s="4">
        <f>'Sources &amp; Uses'!$B$7</f>
        <v>18818150</v>
      </c>
      <c r="E53" s="4">
        <f t="shared" si="2"/>
        <v>10349982.5</v>
      </c>
      <c r="F53" s="4">
        <f>D53*(1+Assumptions!$B$48)-E53</f>
        <v>8750439.75</v>
      </c>
      <c r="G53" s="4">
        <f t="shared" si="3"/>
        <v>-8750439.75</v>
      </c>
      <c r="H53" s="4">
        <f>'5Y Underwriting'!C18-MAX(0,E53*(1-(1-1)*Assumptions!$B$50))*C53-MIN(MAX(0,E53*(1-(1-1)*Assumptions!$B$50)),E53*Assumptions!$B$50)</f>
        <v>225057.29999999993</v>
      </c>
      <c r="I53" s="4">
        <f>'5Y Underwriting'!D18-MAX(0,E53*(1-(2-1)*Assumptions!$B$50))*C53-MIN(MAX(0,E53*(1-(2-1)*Assumptions!$B$50)),E53*Assumptions!$B$50)</f>
        <v>241375.41187499964</v>
      </c>
      <c r="J53" s="4">
        <f>'5Y Underwriting'!E18-MAX(0,E53*(1-(3-1)*Assumptions!$B$50))*C53-MIN(MAX(0,E53*(1-(3-1)*Assumptions!$B$50)),E53*Assumptions!$B$50)</f>
        <v>258179.53236562444</v>
      </c>
      <c r="K53" s="4">
        <f>'5Y Underwriting'!F18-MAX(0,E53*(1-(4-1)*Assumptions!$B$50))*C53-MIN(MAX(0,E53*(1-(4-1)*Assumptions!$B$50)),E53*Assumptions!$B$50)</f>
        <v>275481.66595645272</v>
      </c>
      <c r="L53" s="4">
        <f>'5Y Underwriting'!G18-MAX(0,E53*(1-(5-1)*Assumptions!$B$50))*C53-MIN(MAX(0,E53*(1-(5-1)*Assumptions!$B$50)),E53*Assumptions!$B$50)+'5Y Underwriting'!$G$16*Assumptions!$B$45*(1-Assumptions!$B$49)-MAX(0,E53*(1-5*Assumptions!$B$50))</f>
        <v>10252809.85293996</v>
      </c>
      <c r="M53" s="10">
        <f t="shared" si="4"/>
        <v>5.4155569194494824E-2</v>
      </c>
    </row>
    <row r="54" spans="1:13">
      <c r="A54" s="4" t="s">
        <v>251</v>
      </c>
      <c r="B54" s="4">
        <f>$B45</f>
        <v>0.55000000000000004</v>
      </c>
      <c r="C54" s="4">
        <f>E$44</f>
        <v>7.0000000000000007E-2</v>
      </c>
      <c r="D54" s="4">
        <f>'Sources &amp; Uses'!$B$7</f>
        <v>18818150</v>
      </c>
      <c r="E54" s="4">
        <f t="shared" si="2"/>
        <v>10349982.5</v>
      </c>
      <c r="F54" s="4">
        <f>D54*(1+Assumptions!$B$48)-E54</f>
        <v>8750439.75</v>
      </c>
      <c r="G54" s="4">
        <f t="shared" si="3"/>
        <v>-8750439.75</v>
      </c>
      <c r="H54" s="4">
        <f>'5Y Underwriting'!C18-MAX(0,E54*(1-(1-1)*Assumptions!$B$50))*C54-MIN(MAX(0,E54*(1-(1-1)*Assumptions!$B$50)),E54*Assumptions!$B$50)</f>
        <v>121557.47499999998</v>
      </c>
      <c r="I54" s="4">
        <f>'5Y Underwriting'!D18-MAX(0,E54*(1-(2-1)*Assumptions!$B$50))*C54-MIN(MAX(0,E54*(1-(2-1)*Assumptions!$B$50)),E54*Assumptions!$B$50)</f>
        <v>137875.58687499969</v>
      </c>
      <c r="J54" s="4">
        <f>'5Y Underwriting'!E18-MAX(0,E54*(1-(3-1)*Assumptions!$B$50))*C54-MIN(MAX(0,E54*(1-(3-1)*Assumptions!$B$50)),E54*Assumptions!$B$50)</f>
        <v>154679.70736562449</v>
      </c>
      <c r="K54" s="4">
        <f>'5Y Underwriting'!F18-MAX(0,E54*(1-(4-1)*Assumptions!$B$50))*C54-MIN(MAX(0,E54*(1-(4-1)*Assumptions!$B$50)),E54*Assumptions!$B$50)</f>
        <v>171981.84095645277</v>
      </c>
      <c r="L54" s="4">
        <f>'5Y Underwriting'!G18-MAX(0,E54*(1-(5-1)*Assumptions!$B$50))*C54-MIN(MAX(0,E54*(1-(5-1)*Assumptions!$B$50)),E54*Assumptions!$B$50)+'5Y Underwriting'!$G$16*Assumptions!$B$45*(1-Assumptions!$B$49)-MAX(0,E54*(1-5*Assumptions!$B$50))</f>
        <v>10149310.02793996</v>
      </c>
      <c r="M54" s="10">
        <f t="shared" si="4"/>
        <v>4.2931526002632836E-2</v>
      </c>
    </row>
    <row r="55" spans="1:13">
      <c r="A55" s="4" t="s">
        <v>252</v>
      </c>
      <c r="B55" s="4">
        <f>$B45</f>
        <v>0.55000000000000004</v>
      </c>
      <c r="C55" s="4">
        <f>F$44</f>
        <v>0.08</v>
      </c>
      <c r="D55" s="4">
        <f>'Sources &amp; Uses'!$B$7</f>
        <v>18818150</v>
      </c>
      <c r="E55" s="4">
        <f t="shared" si="2"/>
        <v>10349982.5</v>
      </c>
      <c r="F55" s="4">
        <f>D55*(1+Assumptions!$B$48)-E55</f>
        <v>8750439.75</v>
      </c>
      <c r="G55" s="4">
        <f t="shared" si="3"/>
        <v>-8750439.75</v>
      </c>
      <c r="H55" s="4">
        <f>'5Y Underwriting'!C18-MAX(0,E55*(1-(1-1)*Assumptions!$B$50))*C55-MIN(MAX(0,E55*(1-(1-1)*Assumptions!$B$50)),E55*Assumptions!$B$50)</f>
        <v>18057.650000000023</v>
      </c>
      <c r="I55" s="4">
        <f>'5Y Underwriting'!D18-MAX(0,E55*(1-(2-1)*Assumptions!$B$50))*C55-MIN(MAX(0,E55*(1-(2-1)*Assumptions!$B$50)),E55*Assumptions!$B$50)</f>
        <v>34375.761874999735</v>
      </c>
      <c r="J55" s="4">
        <f>'5Y Underwriting'!E18-MAX(0,E55*(1-(3-1)*Assumptions!$B$50))*C55-MIN(MAX(0,E55*(1-(3-1)*Assumptions!$B$50)),E55*Assumptions!$B$50)</f>
        <v>51179.882365624537</v>
      </c>
      <c r="K55" s="4">
        <f>'5Y Underwriting'!F18-MAX(0,E55*(1-(4-1)*Assumptions!$B$50))*C55-MIN(MAX(0,E55*(1-(4-1)*Assumptions!$B$50)),E55*Assumptions!$B$50)</f>
        <v>68482.015956452815</v>
      </c>
      <c r="L55" s="4">
        <f>'5Y Underwriting'!G18-MAX(0,E55*(1-(5-1)*Assumptions!$B$50))*C55-MIN(MAX(0,E55*(1-(5-1)*Assumptions!$B$50)),E55*Assumptions!$B$50)+'5Y Underwriting'!$G$16*Assumptions!$B$45*(1-Assumptions!$B$49)-MAX(0,E55*(1-5*Assumptions!$B$50))</f>
        <v>10045810.202939957</v>
      </c>
      <c r="M55" s="10">
        <f t="shared" si="4"/>
        <v>3.1720296121160674E-2</v>
      </c>
    </row>
    <row r="56" spans="1:13">
      <c r="A56" s="4" t="s">
        <v>253</v>
      </c>
      <c r="B56" s="4">
        <f>$B45</f>
        <v>0.55000000000000004</v>
      </c>
      <c r="C56" s="4">
        <f>G$44</f>
        <v>9.0000000000000011E-2</v>
      </c>
      <c r="D56" s="4">
        <f>'Sources &amp; Uses'!$B$7</f>
        <v>18818150</v>
      </c>
      <c r="E56" s="4">
        <f t="shared" si="2"/>
        <v>10349982.5</v>
      </c>
      <c r="F56" s="4">
        <f>D56*(1+Assumptions!$B$48)-E56</f>
        <v>8750439.75</v>
      </c>
      <c r="G56" s="4">
        <f t="shared" si="3"/>
        <v>-8750439.75</v>
      </c>
      <c r="H56" s="4">
        <f>'5Y Underwriting'!C18-MAX(0,E56*(1-(1-1)*Assumptions!$B$50))*C56-MIN(MAX(0,E56*(1-(1-1)*Assumptions!$B$50)),E56*Assumptions!$B$50)</f>
        <v>-85442.175000000163</v>
      </c>
      <c r="I56" s="4">
        <f>'5Y Underwriting'!D18-MAX(0,E56*(1-(2-1)*Assumptions!$B$50))*C56-MIN(MAX(0,E56*(1-(2-1)*Assumptions!$B$50)),E56*Assumptions!$B$50)</f>
        <v>-69124.063125000452</v>
      </c>
      <c r="J56" s="4">
        <f>'5Y Underwriting'!E18-MAX(0,E56*(1-(3-1)*Assumptions!$B$50))*C56-MIN(MAX(0,E56*(1-(3-1)*Assumptions!$B$50)),E56*Assumptions!$B$50)</f>
        <v>-52319.94263437565</v>
      </c>
      <c r="K56" s="4">
        <f>'5Y Underwriting'!F18-MAX(0,E56*(1-(4-1)*Assumptions!$B$50))*C56-MIN(MAX(0,E56*(1-(4-1)*Assumptions!$B$50)),E56*Assumptions!$B$50)</f>
        <v>-35017.809043547371</v>
      </c>
      <c r="L56" s="4">
        <f>'5Y Underwriting'!G18-MAX(0,E56*(1-(5-1)*Assumptions!$B$50))*C56-MIN(MAX(0,E56*(1-(5-1)*Assumptions!$B$50)),E56*Assumptions!$B$50)+'5Y Underwriting'!$G$16*Assumptions!$B$45*(1-Assumptions!$B$49)-MAX(0,E56*(1-5*Assumptions!$B$50))</f>
        <v>9942310.3779399581</v>
      </c>
      <c r="M56" s="10">
        <f t="shared" si="4"/>
        <v>2.052205960939113E-2</v>
      </c>
    </row>
    <row r="57" spans="1:13">
      <c r="A57" s="4" t="s">
        <v>254</v>
      </c>
      <c r="B57" s="4">
        <f>$B46</f>
        <v>0.6</v>
      </c>
      <c r="C57" s="4">
        <f>C$44</f>
        <v>0.05</v>
      </c>
      <c r="D57" s="4">
        <f>'Sources &amp; Uses'!$B$7</f>
        <v>18818150</v>
      </c>
      <c r="E57" s="4">
        <f t="shared" si="2"/>
        <v>11290890</v>
      </c>
      <c r="F57" s="4">
        <f>D57*(1+Assumptions!$B$48)-E57</f>
        <v>7809532.25</v>
      </c>
      <c r="G57" s="4">
        <f t="shared" si="3"/>
        <v>-7809532.25</v>
      </c>
      <c r="H57" s="4">
        <f>'5Y Underwriting'!C18-MAX(0,E57*(1-(1-1)*Assumptions!$B$50))*C57-MIN(MAX(0,E57*(1-(1-1)*Assumptions!$B$50)),E57*Assumptions!$B$50)</f>
        <v>281511.75</v>
      </c>
      <c r="I57" s="4">
        <f>'5Y Underwriting'!D18-MAX(0,E57*(1-(2-1)*Assumptions!$B$50))*C57-MIN(MAX(0,E57*(1-(2-1)*Assumptions!$B$50)),E57*Assumptions!$B$50)</f>
        <v>297829.86187499971</v>
      </c>
      <c r="J57" s="4">
        <f>'5Y Underwriting'!E18-MAX(0,E57*(1-(3-1)*Assumptions!$B$50))*C57-MIN(MAX(0,E57*(1-(3-1)*Assumptions!$B$50)),E57*Assumptions!$B$50)</f>
        <v>314633.98236562451</v>
      </c>
      <c r="K57" s="4">
        <f>'5Y Underwriting'!F18-MAX(0,E57*(1-(4-1)*Assumptions!$B$50))*C57-MIN(MAX(0,E57*(1-(4-1)*Assumptions!$B$50)),E57*Assumptions!$B$50)</f>
        <v>331936.11595645279</v>
      </c>
      <c r="L57" s="4">
        <f>'5Y Underwriting'!G18-MAX(0,E57*(1-(5-1)*Assumptions!$B$50))*C57-MIN(MAX(0,E57*(1-(5-1)*Assumptions!$B$50)),E57*Assumptions!$B$50)+'5Y Underwriting'!$G$16*Assumptions!$B$45*(1-Assumptions!$B$49)-MAX(0,E57*(1-5*Assumptions!$B$50))</f>
        <v>9368356.8029399589</v>
      </c>
      <c r="M57" s="10">
        <f t="shared" si="4"/>
        <v>6.714472912904812E-2</v>
      </c>
    </row>
    <row r="58" spans="1:13">
      <c r="A58" s="4" t="s">
        <v>255</v>
      </c>
      <c r="B58" s="4">
        <f>$B46</f>
        <v>0.6</v>
      </c>
      <c r="C58" s="4">
        <f>D$44</f>
        <v>6.0000000000000005E-2</v>
      </c>
      <c r="D58" s="4">
        <f>'Sources &amp; Uses'!$B$7</f>
        <v>18818150</v>
      </c>
      <c r="E58" s="4">
        <f t="shared" si="2"/>
        <v>11290890</v>
      </c>
      <c r="F58" s="4">
        <f>D58*(1+Assumptions!$B$48)-E58</f>
        <v>7809532.25</v>
      </c>
      <c r="G58" s="4">
        <f t="shared" si="3"/>
        <v>-7809532.25</v>
      </c>
      <c r="H58" s="4">
        <f>'5Y Underwriting'!C18-MAX(0,E58*(1-(1-1)*Assumptions!$B$50))*C58-MIN(MAX(0,E58*(1-(1-1)*Assumptions!$B$50)),E58*Assumptions!$B$50)</f>
        <v>168602.84999999998</v>
      </c>
      <c r="I58" s="4">
        <f>'5Y Underwriting'!D18-MAX(0,E58*(1-(2-1)*Assumptions!$B$50))*C58-MIN(MAX(0,E58*(1-(2-1)*Assumptions!$B$50)),E58*Assumptions!$B$50)</f>
        <v>184920.96187499969</v>
      </c>
      <c r="J58" s="4">
        <f>'5Y Underwriting'!E18-MAX(0,E58*(1-(3-1)*Assumptions!$B$50))*C58-MIN(MAX(0,E58*(1-(3-1)*Assumptions!$B$50)),E58*Assumptions!$B$50)</f>
        <v>201725.08236562449</v>
      </c>
      <c r="K58" s="4">
        <f>'5Y Underwriting'!F18-MAX(0,E58*(1-(4-1)*Assumptions!$B$50))*C58-MIN(MAX(0,E58*(1-(4-1)*Assumptions!$B$50)),E58*Assumptions!$B$50)</f>
        <v>219027.21595645277</v>
      </c>
      <c r="L58" s="4">
        <f>'5Y Underwriting'!G18-MAX(0,E58*(1-(5-1)*Assumptions!$B$50))*C58-MIN(MAX(0,E58*(1-(5-1)*Assumptions!$B$50)),E58*Assumptions!$B$50)+'5Y Underwriting'!$G$16*Assumptions!$B$45*(1-Assumptions!$B$49)-MAX(0,E58*(1-5*Assumptions!$B$50))</f>
        <v>9255447.9029399604</v>
      </c>
      <c r="M58" s="10">
        <f t="shared" si="4"/>
        <v>5.349106522619107E-2</v>
      </c>
    </row>
    <row r="59" spans="1:13">
      <c r="A59" s="4" t="s">
        <v>256</v>
      </c>
      <c r="B59" s="4">
        <f>$B46</f>
        <v>0.6</v>
      </c>
      <c r="C59" s="4">
        <f>E$44</f>
        <v>7.0000000000000007E-2</v>
      </c>
      <c r="D59" s="4">
        <f>'Sources &amp; Uses'!$B$7</f>
        <v>18818150</v>
      </c>
      <c r="E59" s="4">
        <f t="shared" si="2"/>
        <v>11290890</v>
      </c>
      <c r="F59" s="4">
        <f>D59*(1+Assumptions!$B$48)-E59</f>
        <v>7809532.25</v>
      </c>
      <c r="G59" s="4">
        <f t="shared" si="3"/>
        <v>-7809532.25</v>
      </c>
      <c r="H59" s="4">
        <f>'5Y Underwriting'!C18-MAX(0,E59*(1-(1-1)*Assumptions!$B$50))*C59-MIN(MAX(0,E59*(1-(1-1)*Assumptions!$B$50)),E59*Assumptions!$B$50)</f>
        <v>55693.949999999953</v>
      </c>
      <c r="I59" s="4">
        <f>'5Y Underwriting'!D18-MAX(0,E59*(1-(2-1)*Assumptions!$B$50))*C59-MIN(MAX(0,E59*(1-(2-1)*Assumptions!$B$50)),E59*Assumptions!$B$50)</f>
        <v>72012.061874999665</v>
      </c>
      <c r="J59" s="4">
        <f>'5Y Underwriting'!E18-MAX(0,E59*(1-(3-1)*Assumptions!$B$50))*C59-MIN(MAX(0,E59*(1-(3-1)*Assumptions!$B$50)),E59*Assumptions!$B$50)</f>
        <v>88816.182365624467</v>
      </c>
      <c r="K59" s="4">
        <f>'5Y Underwriting'!F18-MAX(0,E59*(1-(4-1)*Assumptions!$B$50))*C59-MIN(MAX(0,E59*(1-(4-1)*Assumptions!$B$50)),E59*Assumptions!$B$50)</f>
        <v>106118.31595645275</v>
      </c>
      <c r="L59" s="4">
        <f>'5Y Underwriting'!G18-MAX(0,E59*(1-(5-1)*Assumptions!$B$50))*C59-MIN(MAX(0,E59*(1-(5-1)*Assumptions!$B$50)),E59*Assumptions!$B$50)+'5Y Underwriting'!$G$16*Assumptions!$B$45*(1-Assumptions!$B$49)-MAX(0,E59*(1-5*Assumptions!$B$50))</f>
        <v>9142539.0029399581</v>
      </c>
      <c r="M59" s="10">
        <f t="shared" si="4"/>
        <v>3.9858181521923663E-2</v>
      </c>
    </row>
    <row r="60" spans="1:13">
      <c r="A60" s="4" t="s">
        <v>257</v>
      </c>
      <c r="B60" s="4">
        <f>$B46</f>
        <v>0.6</v>
      </c>
      <c r="C60" s="4">
        <f>F$44</f>
        <v>0.08</v>
      </c>
      <c r="D60" s="4">
        <f>'Sources &amp; Uses'!$B$7</f>
        <v>18818150</v>
      </c>
      <c r="E60" s="4">
        <f t="shared" si="2"/>
        <v>11290890</v>
      </c>
      <c r="F60" s="4">
        <f>D60*(1+Assumptions!$B$48)-E60</f>
        <v>7809532.25</v>
      </c>
      <c r="G60" s="4">
        <f t="shared" si="3"/>
        <v>-7809532.25</v>
      </c>
      <c r="H60" s="4">
        <f>'5Y Underwriting'!C18-MAX(0,E60*(1-(1-1)*Assumptions!$B$50))*C60-MIN(MAX(0,E60*(1-(1-1)*Assumptions!$B$50)),E60*Assumptions!$B$50)</f>
        <v>-57214.95000000007</v>
      </c>
      <c r="I60" s="4">
        <f>'5Y Underwriting'!D18-MAX(0,E60*(1-(2-1)*Assumptions!$B$50))*C60-MIN(MAX(0,E60*(1-(2-1)*Assumptions!$B$50)),E60*Assumptions!$B$50)</f>
        <v>-40896.838125000359</v>
      </c>
      <c r="J60" s="4">
        <f>'5Y Underwriting'!E18-MAX(0,E60*(1-(3-1)*Assumptions!$B$50))*C60-MIN(MAX(0,E60*(1-(3-1)*Assumptions!$B$50)),E60*Assumptions!$B$50)</f>
        <v>-24092.717634375556</v>
      </c>
      <c r="K60" s="4">
        <f>'5Y Underwriting'!F18-MAX(0,E60*(1-(4-1)*Assumptions!$B$50))*C60-MIN(MAX(0,E60*(1-(4-1)*Assumptions!$B$50)),E60*Assumptions!$B$50)</f>
        <v>-6790.5840435472783</v>
      </c>
      <c r="L60" s="4">
        <f>'5Y Underwriting'!G18-MAX(0,E60*(1-(5-1)*Assumptions!$B$50))*C60-MIN(MAX(0,E60*(1-(5-1)*Assumptions!$B$50)),E60*Assumptions!$B$50)+'5Y Underwriting'!$G$16*Assumptions!$B$45*(1-Assumptions!$B$49)-MAX(0,E60*(1-5*Assumptions!$B$50))</f>
        <v>9029630.1029399596</v>
      </c>
      <c r="M60" s="10">
        <f t="shared" si="4"/>
        <v>2.6246433066940078E-2</v>
      </c>
    </row>
    <row r="61" spans="1:13">
      <c r="A61" s="4" t="s">
        <v>258</v>
      </c>
      <c r="B61" s="4">
        <f>$B46</f>
        <v>0.6</v>
      </c>
      <c r="C61" s="4">
        <f>G$44</f>
        <v>9.0000000000000011E-2</v>
      </c>
      <c r="D61" s="4">
        <f>'Sources &amp; Uses'!$B$7</f>
        <v>18818150</v>
      </c>
      <c r="E61" s="4">
        <f t="shared" si="2"/>
        <v>11290890</v>
      </c>
      <c r="F61" s="4">
        <f>D61*(1+Assumptions!$B$48)-E61</f>
        <v>7809532.25</v>
      </c>
      <c r="G61" s="4">
        <f t="shared" si="3"/>
        <v>-7809532.25</v>
      </c>
      <c r="H61" s="4">
        <f>'5Y Underwriting'!C18-MAX(0,E61*(1-(1-1)*Assumptions!$B$50))*C61-MIN(MAX(0,E61*(1-(1-1)*Assumptions!$B$50)),E61*Assumptions!$B$50)</f>
        <v>-170123.85000000009</v>
      </c>
      <c r="I61" s="4">
        <f>'5Y Underwriting'!D18-MAX(0,E61*(1-(2-1)*Assumptions!$B$50))*C61-MIN(MAX(0,E61*(1-(2-1)*Assumptions!$B$50)),E61*Assumptions!$B$50)</f>
        <v>-153805.73812500038</v>
      </c>
      <c r="J61" s="4">
        <f>'5Y Underwriting'!E18-MAX(0,E61*(1-(3-1)*Assumptions!$B$50))*C61-MIN(MAX(0,E61*(1-(3-1)*Assumptions!$B$50)),E61*Assumptions!$B$50)</f>
        <v>-137001.61763437558</v>
      </c>
      <c r="K61" s="4">
        <f>'5Y Underwriting'!F18-MAX(0,E61*(1-(4-1)*Assumptions!$B$50))*C61-MIN(MAX(0,E61*(1-(4-1)*Assumptions!$B$50)),E61*Assumptions!$B$50)</f>
        <v>-119699.4840435473</v>
      </c>
      <c r="L61" s="4">
        <f>'5Y Underwriting'!G18-MAX(0,E61*(1-(5-1)*Assumptions!$B$50))*C61-MIN(MAX(0,E61*(1-(5-1)*Assumptions!$B$50)),E61*Assumptions!$B$50)+'5Y Underwriting'!$G$16*Assumptions!$B$45*(1-Assumptions!$B$49)-MAX(0,E61*(1-5*Assumptions!$B$50))</f>
        <v>8916721.2029399574</v>
      </c>
      <c r="M61" s="10">
        <f t="shared" si="4"/>
        <v>1.2656166229384258E-2</v>
      </c>
    </row>
    <row r="62" spans="1:13">
      <c r="A62" s="4" t="s">
        <v>259</v>
      </c>
      <c r="B62" s="4">
        <f>$B47</f>
        <v>0.65</v>
      </c>
      <c r="C62" s="4">
        <f>C$44</f>
        <v>0.05</v>
      </c>
      <c r="D62" s="4">
        <f>'Sources &amp; Uses'!$B$7</f>
        <v>18818150</v>
      </c>
      <c r="E62" s="4">
        <f t="shared" si="2"/>
        <v>12231797.5</v>
      </c>
      <c r="F62" s="4">
        <f>D62*(1+Assumptions!$B$48)-E62</f>
        <v>6868624.75</v>
      </c>
      <c r="G62" s="4">
        <f t="shared" si="3"/>
        <v>-6868624.75</v>
      </c>
      <c r="H62" s="4">
        <f>'5Y Underwriting'!C18-MAX(0,E62*(1-(1-1)*Assumptions!$B$50))*C62-MIN(MAX(0,E62*(1-(1-1)*Assumptions!$B$50)),E62*Assumptions!$B$50)</f>
        <v>234466.375</v>
      </c>
      <c r="I62" s="4">
        <f>'5Y Underwriting'!D18-MAX(0,E62*(1-(2-1)*Assumptions!$B$50))*C62-MIN(MAX(0,E62*(1-(2-1)*Assumptions!$B$50)),E62*Assumptions!$B$50)</f>
        <v>250784.48687499971</v>
      </c>
      <c r="J62" s="4">
        <f>'5Y Underwriting'!E18-MAX(0,E62*(1-(3-1)*Assumptions!$B$50))*C62-MIN(MAX(0,E62*(1-(3-1)*Assumptions!$B$50)),E62*Assumptions!$B$50)</f>
        <v>267588.60736562451</v>
      </c>
      <c r="K62" s="4">
        <f>'5Y Underwriting'!F18-MAX(0,E62*(1-(4-1)*Assumptions!$B$50))*C62-MIN(MAX(0,E62*(1-(4-1)*Assumptions!$B$50)),E62*Assumptions!$B$50)</f>
        <v>284890.74095645279</v>
      </c>
      <c r="L62" s="4">
        <f>'5Y Underwriting'!G18-MAX(0,E62*(1-(5-1)*Assumptions!$B$50))*C62-MIN(MAX(0,E62*(1-(5-1)*Assumptions!$B$50)),E62*Assumptions!$B$50)+'5Y Underwriting'!$G$16*Assumptions!$B$45*(1-Assumptions!$B$49)-MAX(0,E62*(1-5*Assumptions!$B$50))</f>
        <v>8380403.9279399589</v>
      </c>
      <c r="M62" s="10">
        <f t="shared" si="4"/>
        <v>6.9348085596456999E-2</v>
      </c>
    </row>
    <row r="63" spans="1:13">
      <c r="A63" s="4" t="s">
        <v>260</v>
      </c>
      <c r="B63" s="4">
        <f>$B47</f>
        <v>0.65</v>
      </c>
      <c r="C63" s="4">
        <f>D$44</f>
        <v>6.0000000000000005E-2</v>
      </c>
      <c r="D63" s="4">
        <f>'Sources &amp; Uses'!$B$7</f>
        <v>18818150</v>
      </c>
      <c r="E63" s="4">
        <f t="shared" si="2"/>
        <v>12231797.5</v>
      </c>
      <c r="F63" s="4">
        <f>D63*(1+Assumptions!$B$48)-E63</f>
        <v>6868624.75</v>
      </c>
      <c r="G63" s="4">
        <f t="shared" si="3"/>
        <v>-6868624.75</v>
      </c>
      <c r="H63" s="4">
        <f>'5Y Underwriting'!C18-MAX(0,E63*(1-(1-1)*Assumptions!$B$50))*C63-MIN(MAX(0,E63*(1-(1-1)*Assumptions!$B$50)),E63*Assumptions!$B$50)</f>
        <v>112148.39999999991</v>
      </c>
      <c r="I63" s="4">
        <f>'5Y Underwriting'!D18-MAX(0,E63*(1-(2-1)*Assumptions!$B$50))*C63-MIN(MAX(0,E63*(1-(2-1)*Assumptions!$B$50)),E63*Assumptions!$B$50)</f>
        <v>128466.51187499962</v>
      </c>
      <c r="J63" s="4">
        <f>'5Y Underwriting'!E18-MAX(0,E63*(1-(3-1)*Assumptions!$B$50))*C63-MIN(MAX(0,E63*(1-(3-1)*Assumptions!$B$50)),E63*Assumptions!$B$50)</f>
        <v>145270.63236562442</v>
      </c>
      <c r="K63" s="4">
        <f>'5Y Underwriting'!F18-MAX(0,E63*(1-(4-1)*Assumptions!$B$50))*C63-MIN(MAX(0,E63*(1-(4-1)*Assumptions!$B$50)),E63*Assumptions!$B$50)</f>
        <v>162572.7659564527</v>
      </c>
      <c r="L63" s="4">
        <f>'5Y Underwriting'!G18-MAX(0,E63*(1-(5-1)*Assumptions!$B$50))*C63-MIN(MAX(0,E63*(1-(5-1)*Assumptions!$B$50)),E63*Assumptions!$B$50)+'5Y Underwriting'!$G$16*Assumptions!$B$45*(1-Assumptions!$B$49)-MAX(0,E63*(1-5*Assumptions!$B$50))</f>
        <v>8258085.9529399574</v>
      </c>
      <c r="M63" s="10">
        <f t="shared" si="4"/>
        <v>5.2656149086141468E-2</v>
      </c>
    </row>
    <row r="64" spans="1:13">
      <c r="A64" s="4" t="s">
        <v>261</v>
      </c>
      <c r="B64" s="4">
        <f>$B47</f>
        <v>0.65</v>
      </c>
      <c r="C64" s="4">
        <f>E$44</f>
        <v>7.0000000000000007E-2</v>
      </c>
      <c r="D64" s="4">
        <f>'Sources &amp; Uses'!$B$7</f>
        <v>18818150</v>
      </c>
      <c r="E64" s="4">
        <f t="shared" si="2"/>
        <v>12231797.5</v>
      </c>
      <c r="F64" s="4">
        <f>D64*(1+Assumptions!$B$48)-E64</f>
        <v>6868624.75</v>
      </c>
      <c r="G64" s="4">
        <f t="shared" si="3"/>
        <v>-6868624.75</v>
      </c>
      <c r="H64" s="4">
        <f>'5Y Underwriting'!C18-MAX(0,E64*(1-(1-1)*Assumptions!$B$50))*C64-MIN(MAX(0,E64*(1-(1-1)*Assumptions!$B$50)),E64*Assumptions!$B$50)</f>
        <v>-10169.57500000007</v>
      </c>
      <c r="I64" s="4">
        <f>'5Y Underwriting'!D18-MAX(0,E64*(1-(2-1)*Assumptions!$B$50))*C64-MIN(MAX(0,E64*(1-(2-1)*Assumptions!$B$50)),E64*Assumptions!$B$50)</f>
        <v>6148.5368749996414</v>
      </c>
      <c r="J64" s="4">
        <f>'5Y Underwriting'!E18-MAX(0,E64*(1-(3-1)*Assumptions!$B$50))*C64-MIN(MAX(0,E64*(1-(3-1)*Assumptions!$B$50)),E64*Assumptions!$B$50)</f>
        <v>22952.657365624444</v>
      </c>
      <c r="K64" s="4">
        <f>'5Y Underwriting'!F18-MAX(0,E64*(1-(4-1)*Assumptions!$B$50))*C64-MIN(MAX(0,E64*(1-(4-1)*Assumptions!$B$50)),E64*Assumptions!$B$50)</f>
        <v>40254.790956452722</v>
      </c>
      <c r="L64" s="4">
        <f>'5Y Underwriting'!G18-MAX(0,E64*(1-(5-1)*Assumptions!$B$50))*C64-MIN(MAX(0,E64*(1-(5-1)*Assumptions!$B$50)),E64*Assumptions!$B$50)+'5Y Underwriting'!$G$16*Assumptions!$B$45*(1-Assumptions!$B$49)-MAX(0,E64*(1-5*Assumptions!$B$50))</f>
        <v>8135767.9779399596</v>
      </c>
      <c r="M64" s="10">
        <f t="shared" si="4"/>
        <v>3.5999276313515294E-2</v>
      </c>
    </row>
    <row r="65" spans="1:13">
      <c r="A65" s="4" t="s">
        <v>262</v>
      </c>
      <c r="B65" s="4">
        <f>$B47</f>
        <v>0.65</v>
      </c>
      <c r="C65" s="4">
        <f>F$44</f>
        <v>0.08</v>
      </c>
      <c r="D65" s="4">
        <f>'Sources &amp; Uses'!$B$7</f>
        <v>18818150</v>
      </c>
      <c r="E65" s="4">
        <f t="shared" si="2"/>
        <v>12231797.5</v>
      </c>
      <c r="F65" s="4">
        <f>D65*(1+Assumptions!$B$48)-E65</f>
        <v>6868624.75</v>
      </c>
      <c r="G65" s="4">
        <f t="shared" si="3"/>
        <v>-6868624.75</v>
      </c>
      <c r="H65" s="4">
        <f>'5Y Underwriting'!C18-MAX(0,E65*(1-(1-1)*Assumptions!$B$50))*C65-MIN(MAX(0,E65*(1-(1-1)*Assumptions!$B$50)),E65*Assumptions!$B$50)</f>
        <v>-132487.55000000005</v>
      </c>
      <c r="I65" s="4">
        <f>'5Y Underwriting'!D18-MAX(0,E65*(1-(2-1)*Assumptions!$B$50))*C65-MIN(MAX(0,E65*(1-(2-1)*Assumptions!$B$50)),E65*Assumptions!$B$50)</f>
        <v>-116169.43812500034</v>
      </c>
      <c r="J65" s="4">
        <f>'5Y Underwriting'!E18-MAX(0,E65*(1-(3-1)*Assumptions!$B$50))*C65-MIN(MAX(0,E65*(1-(3-1)*Assumptions!$B$50)),E65*Assumptions!$B$50)</f>
        <v>-99365.317634375533</v>
      </c>
      <c r="K65" s="4">
        <f>'5Y Underwriting'!F18-MAX(0,E65*(1-(4-1)*Assumptions!$B$50))*C65-MIN(MAX(0,E65*(1-(4-1)*Assumptions!$B$50)),E65*Assumptions!$B$50)</f>
        <v>-82063.184043547255</v>
      </c>
      <c r="L65" s="4">
        <f>'5Y Underwriting'!G18-MAX(0,E65*(1-(5-1)*Assumptions!$B$50))*C65-MIN(MAX(0,E65*(1-(5-1)*Assumptions!$B$50)),E65*Assumptions!$B$50)+'5Y Underwriting'!$G$16*Assumptions!$B$45*(1-Assumptions!$B$49)-MAX(0,E65*(1-5*Assumptions!$B$50))</f>
        <v>8013450.0029399581</v>
      </c>
      <c r="M65" s="10">
        <f t="shared" si="4"/>
        <v>1.9378169725045025E-2</v>
      </c>
    </row>
    <row r="66" spans="1:13">
      <c r="A66" s="4" t="s">
        <v>263</v>
      </c>
      <c r="B66" s="4">
        <f>$B47</f>
        <v>0.65</v>
      </c>
      <c r="C66" s="4">
        <f>G$44</f>
        <v>9.0000000000000011E-2</v>
      </c>
      <c r="D66" s="4">
        <f>'Sources &amp; Uses'!$B$7</f>
        <v>18818150</v>
      </c>
      <c r="E66" s="4">
        <f t="shared" si="2"/>
        <v>12231797.5</v>
      </c>
      <c r="F66" s="4">
        <f>D66*(1+Assumptions!$B$48)-E66</f>
        <v>6868624.75</v>
      </c>
      <c r="G66" s="4">
        <f t="shared" si="3"/>
        <v>-6868624.75</v>
      </c>
      <c r="H66" s="4">
        <f>'5Y Underwriting'!C18-MAX(0,E66*(1-(1-1)*Assumptions!$B$50))*C66-MIN(MAX(0,E66*(1-(1-1)*Assumptions!$B$50)),E66*Assumptions!$B$50)</f>
        <v>-254805.52500000014</v>
      </c>
      <c r="I66" s="4">
        <f>'5Y Underwriting'!D18-MAX(0,E66*(1-(2-1)*Assumptions!$B$50))*C66-MIN(MAX(0,E66*(1-(2-1)*Assumptions!$B$50)),E66*Assumptions!$B$50)</f>
        <v>-238487.41312500043</v>
      </c>
      <c r="J66" s="4">
        <f>'5Y Underwriting'!E18-MAX(0,E66*(1-(3-1)*Assumptions!$B$50))*C66-MIN(MAX(0,E66*(1-(3-1)*Assumptions!$B$50)),E66*Assumptions!$B$50)</f>
        <v>-221683.29263437563</v>
      </c>
      <c r="K66" s="4">
        <f>'5Y Underwriting'!F18-MAX(0,E66*(1-(4-1)*Assumptions!$B$50))*C66-MIN(MAX(0,E66*(1-(4-1)*Assumptions!$B$50)),E66*Assumptions!$B$50)</f>
        <v>-204381.15904354735</v>
      </c>
      <c r="L66" s="4">
        <f>'5Y Underwriting'!G18-MAX(0,E66*(1-(5-1)*Assumptions!$B$50))*C66-MIN(MAX(0,E66*(1-(5-1)*Assumptions!$B$50)),E66*Assumptions!$B$50)+'5Y Underwriting'!$G$16*Assumptions!$B$45*(1-Assumptions!$B$49)-MAX(0,E66*(1-5*Assumptions!$B$50))</f>
        <v>7891132.0279399604</v>
      </c>
      <c r="M66" s="10">
        <f t="shared" si="4"/>
        <v>2.793507395278283E-3</v>
      </c>
    </row>
    <row r="67" spans="1:13">
      <c r="A67" s="4" t="s">
        <v>264</v>
      </c>
      <c r="B67" s="4">
        <f>$B48</f>
        <v>0.70000000000000007</v>
      </c>
      <c r="C67" s="4">
        <f>C$44</f>
        <v>0.05</v>
      </c>
      <c r="D67" s="4">
        <f>'Sources &amp; Uses'!$B$7</f>
        <v>18818150</v>
      </c>
      <c r="E67" s="4">
        <f t="shared" si="2"/>
        <v>13172705.000000002</v>
      </c>
      <c r="F67" s="4">
        <f>D67*(1+Assumptions!$B$48)-E67</f>
        <v>5927717.2499999981</v>
      </c>
      <c r="G67" s="4">
        <f t="shared" si="3"/>
        <v>-5927717.2499999981</v>
      </c>
      <c r="H67" s="4">
        <f>'5Y Underwriting'!C18-MAX(0,E67*(1-(1-1)*Assumptions!$B$50))*C67-MIN(MAX(0,E67*(1-(1-1)*Assumptions!$B$50)),E67*Assumptions!$B$50)</f>
        <v>187420.99999999988</v>
      </c>
      <c r="I67" s="4">
        <f>'5Y Underwriting'!D18-MAX(0,E67*(1-(2-1)*Assumptions!$B$50))*C67-MIN(MAX(0,E67*(1-(2-1)*Assumptions!$B$50)),E67*Assumptions!$B$50)</f>
        <v>203739.11187499959</v>
      </c>
      <c r="J67" s="4">
        <f>'5Y Underwriting'!E18-MAX(0,E67*(1-(3-1)*Assumptions!$B$50))*C67-MIN(MAX(0,E67*(1-(3-1)*Assumptions!$B$50)),E67*Assumptions!$B$50)</f>
        <v>220543.2323656244</v>
      </c>
      <c r="K67" s="4">
        <f>'5Y Underwriting'!F18-MAX(0,E67*(1-(4-1)*Assumptions!$B$50))*C67-MIN(MAX(0,E67*(1-(4-1)*Assumptions!$B$50)),E67*Assumptions!$B$50)</f>
        <v>237845.36595645268</v>
      </c>
      <c r="L67" s="4">
        <f>'5Y Underwriting'!G18-MAX(0,E67*(1-(5-1)*Assumptions!$B$50))*C67-MIN(MAX(0,E67*(1-(5-1)*Assumptions!$B$50)),E67*Assumptions!$B$50)+'5Y Underwriting'!$G$16*Assumptions!$B$45*(1-Assumptions!$B$49)-MAX(0,E67*(1-5*Assumptions!$B$50))</f>
        <v>7392451.052939957</v>
      </c>
      <c r="M67" s="10">
        <f t="shared" si="4"/>
        <v>7.2202304141008922E-2</v>
      </c>
    </row>
    <row r="68" spans="1:13">
      <c r="A68" s="4" t="s">
        <v>265</v>
      </c>
      <c r="B68" s="4">
        <f>$B48</f>
        <v>0.70000000000000007</v>
      </c>
      <c r="C68" s="4">
        <f>D$44</f>
        <v>6.0000000000000005E-2</v>
      </c>
      <c r="D68" s="4">
        <f>'Sources &amp; Uses'!$B$7</f>
        <v>18818150</v>
      </c>
      <c r="E68" s="4">
        <f t="shared" si="2"/>
        <v>13172705.000000002</v>
      </c>
      <c r="F68" s="4">
        <f>D68*(1+Assumptions!$B$48)-E68</f>
        <v>5927717.2499999981</v>
      </c>
      <c r="G68" s="4">
        <f t="shared" si="3"/>
        <v>-5927717.2499999981</v>
      </c>
      <c r="H68" s="4">
        <f>'5Y Underwriting'!C18-MAX(0,E68*(1-(1-1)*Assumptions!$B$50))*C68-MIN(MAX(0,E68*(1-(1-1)*Assumptions!$B$50)),E68*Assumptions!$B$50)</f>
        <v>55693.949999999837</v>
      </c>
      <c r="I68" s="4">
        <f>'5Y Underwriting'!D18-MAX(0,E68*(1-(2-1)*Assumptions!$B$50))*C68-MIN(MAX(0,E68*(1-(2-1)*Assumptions!$B$50)),E68*Assumptions!$B$50)</f>
        <v>72012.061874999548</v>
      </c>
      <c r="J68" s="4">
        <f>'5Y Underwriting'!E18-MAX(0,E68*(1-(3-1)*Assumptions!$B$50))*C68-MIN(MAX(0,E68*(1-(3-1)*Assumptions!$B$50)),E68*Assumptions!$B$50)</f>
        <v>88816.18236562435</v>
      </c>
      <c r="K68" s="4">
        <f>'5Y Underwriting'!F18-MAX(0,E68*(1-(4-1)*Assumptions!$B$50))*C68-MIN(MAX(0,E68*(1-(4-1)*Assumptions!$B$50)),E68*Assumptions!$B$50)</f>
        <v>106118.31595645263</v>
      </c>
      <c r="L68" s="4">
        <f>'5Y Underwriting'!G18-MAX(0,E68*(1-(5-1)*Assumptions!$B$50))*C68-MIN(MAX(0,E68*(1-(5-1)*Assumptions!$B$50)),E68*Assumptions!$B$50)+'5Y Underwriting'!$G$16*Assumptions!$B$45*(1-Assumptions!$B$49)-MAX(0,E68*(1-5*Assumptions!$B$50))</f>
        <v>7260724.0029399563</v>
      </c>
      <c r="M68" s="10">
        <f t="shared" si="4"/>
        <v>5.1575671479412444E-2</v>
      </c>
    </row>
    <row r="69" spans="1:13">
      <c r="A69" s="4" t="s">
        <v>266</v>
      </c>
      <c r="B69" s="4">
        <f>$B48</f>
        <v>0.70000000000000007</v>
      </c>
      <c r="C69" s="4">
        <f>E$44</f>
        <v>7.0000000000000007E-2</v>
      </c>
      <c r="D69" s="4">
        <f>'Sources &amp; Uses'!$B$7</f>
        <v>18818150</v>
      </c>
      <c r="E69" s="4">
        <f t="shared" si="2"/>
        <v>13172705.000000002</v>
      </c>
      <c r="F69" s="4">
        <f>D69*(1+Assumptions!$B$48)-E69</f>
        <v>5927717.2499999981</v>
      </c>
      <c r="G69" s="4">
        <f t="shared" si="3"/>
        <v>-5927717.2499999981</v>
      </c>
      <c r="H69" s="4">
        <f>'5Y Underwriting'!C18-MAX(0,E69*(1-(1-1)*Assumptions!$B$50))*C69-MIN(MAX(0,E69*(1-(1-1)*Assumptions!$B$50)),E69*Assumptions!$B$50)</f>
        <v>-76033.10000000021</v>
      </c>
      <c r="I69" s="4">
        <f>'5Y Underwriting'!D18-MAX(0,E69*(1-(2-1)*Assumptions!$B$50))*C69-MIN(MAX(0,E69*(1-(2-1)*Assumptions!$B$50)),E69*Assumptions!$B$50)</f>
        <v>-59714.988125000498</v>
      </c>
      <c r="J69" s="4">
        <f>'5Y Underwriting'!E18-MAX(0,E69*(1-(3-1)*Assumptions!$B$50))*C69-MIN(MAX(0,E69*(1-(3-1)*Assumptions!$B$50)),E69*Assumptions!$B$50)</f>
        <v>-42910.867634375696</v>
      </c>
      <c r="K69" s="4">
        <f>'5Y Underwriting'!F18-MAX(0,E69*(1-(4-1)*Assumptions!$B$50))*C69-MIN(MAX(0,E69*(1-(4-1)*Assumptions!$B$50)),E69*Assumptions!$B$50)</f>
        <v>-25608.734043547418</v>
      </c>
      <c r="L69" s="4">
        <f>'5Y Underwriting'!G18-MAX(0,E69*(1-(5-1)*Assumptions!$B$50))*C69-MIN(MAX(0,E69*(1-(5-1)*Assumptions!$B$50)),E69*Assumptions!$B$50)+'5Y Underwriting'!$G$16*Assumptions!$B$45*(1-Assumptions!$B$49)-MAX(0,E69*(1-5*Assumptions!$B$50))</f>
        <v>7128996.9529399555</v>
      </c>
      <c r="M69" s="10">
        <f t="shared" si="4"/>
        <v>3.1010500678498198E-2</v>
      </c>
    </row>
    <row r="70" spans="1:13">
      <c r="A70" s="4" t="s">
        <v>267</v>
      </c>
      <c r="B70" s="4">
        <f>$B48</f>
        <v>0.70000000000000007</v>
      </c>
      <c r="C70" s="4">
        <f>F$44</f>
        <v>0.08</v>
      </c>
      <c r="D70" s="4">
        <f>'Sources &amp; Uses'!$B$7</f>
        <v>18818150</v>
      </c>
      <c r="E70" s="4">
        <f t="shared" si="2"/>
        <v>13172705.000000002</v>
      </c>
      <c r="F70" s="4">
        <f>D70*(1+Assumptions!$B$48)-E70</f>
        <v>5927717.2499999981</v>
      </c>
      <c r="G70" s="4">
        <f t="shared" si="3"/>
        <v>-5927717.2499999981</v>
      </c>
      <c r="H70" s="4">
        <f>'5Y Underwriting'!C18-MAX(0,E70*(1-(1-1)*Assumptions!$B$50))*C70-MIN(MAX(0,E70*(1-(1-1)*Assumptions!$B$50)),E70*Assumptions!$B$50)</f>
        <v>-207760.15000000014</v>
      </c>
      <c r="I70" s="4">
        <f>'5Y Underwriting'!D18-MAX(0,E70*(1-(2-1)*Assumptions!$B$50))*C70-MIN(MAX(0,E70*(1-(2-1)*Assumptions!$B$50)),E70*Assumptions!$B$50)</f>
        <v>-191442.03812500043</v>
      </c>
      <c r="J70" s="4">
        <f>'5Y Underwriting'!E18-MAX(0,E70*(1-(3-1)*Assumptions!$B$50))*C70-MIN(MAX(0,E70*(1-(3-1)*Assumptions!$B$50)),E70*Assumptions!$B$50)</f>
        <v>-174637.91763437563</v>
      </c>
      <c r="K70" s="4">
        <f>'5Y Underwriting'!F18-MAX(0,E70*(1-(4-1)*Assumptions!$B$50))*C70-MIN(MAX(0,E70*(1-(4-1)*Assumptions!$B$50)),E70*Assumptions!$B$50)</f>
        <v>-157335.78404354735</v>
      </c>
      <c r="L70" s="4">
        <f>'5Y Underwriting'!G18-MAX(0,E70*(1-(5-1)*Assumptions!$B$50))*C70-MIN(MAX(0,E70*(1-(5-1)*Assumptions!$B$50)),E70*Assumptions!$B$50)+'5Y Underwriting'!$G$16*Assumptions!$B$45*(1-Assumptions!$B$49)-MAX(0,E70*(1-5*Assumptions!$B$50))</f>
        <v>6997269.9029399585</v>
      </c>
      <c r="M70" s="10">
        <f t="shared" si="4"/>
        <v>1.0508227921992797E-2</v>
      </c>
    </row>
    <row r="71" spans="1:13">
      <c r="A71" s="4" t="s">
        <v>268</v>
      </c>
      <c r="B71" s="4">
        <f>$B48</f>
        <v>0.70000000000000007</v>
      </c>
      <c r="C71" s="4">
        <f>G$44</f>
        <v>9.0000000000000011E-2</v>
      </c>
      <c r="D71" s="4">
        <f>'Sources &amp; Uses'!$B$7</f>
        <v>18818150</v>
      </c>
      <c r="E71" s="4">
        <f t="shared" si="2"/>
        <v>13172705.000000002</v>
      </c>
      <c r="F71" s="4">
        <f>D71*(1+Assumptions!$B$48)-E71</f>
        <v>5927717.2499999981</v>
      </c>
      <c r="G71" s="4">
        <f t="shared" si="3"/>
        <v>-5927717.2499999981</v>
      </c>
      <c r="H71" s="4">
        <f>'5Y Underwriting'!C18-MAX(0,E71*(1-(1-1)*Assumptions!$B$50))*C71-MIN(MAX(0,E71*(1-(1-1)*Assumptions!$B$50)),E71*Assumptions!$B$50)</f>
        <v>-339487.20000000042</v>
      </c>
      <c r="I71" s="4">
        <f>'5Y Underwriting'!D18-MAX(0,E71*(1-(2-1)*Assumptions!$B$50))*C71-MIN(MAX(0,E71*(1-(2-1)*Assumptions!$B$50)),E71*Assumptions!$B$50)</f>
        <v>-323169.08812500071</v>
      </c>
      <c r="J71" s="4">
        <f>'5Y Underwriting'!E18-MAX(0,E71*(1-(3-1)*Assumptions!$B$50))*C71-MIN(MAX(0,E71*(1-(3-1)*Assumptions!$B$50)),E71*Assumptions!$B$50)</f>
        <v>-306364.96763437591</v>
      </c>
      <c r="K71" s="4">
        <f>'5Y Underwriting'!F18-MAX(0,E71*(1-(4-1)*Assumptions!$B$50))*C71-MIN(MAX(0,E71*(1-(4-1)*Assumptions!$B$50)),E71*Assumptions!$B$50)</f>
        <v>-289062.83404354763</v>
      </c>
      <c r="L71" s="4">
        <f>'5Y Underwriting'!G18-MAX(0,E71*(1-(5-1)*Assumptions!$B$50))*C71-MIN(MAX(0,E71*(1-(5-1)*Assumptions!$B$50)),E71*Assumptions!$B$50)+'5Y Underwriting'!$G$16*Assumptions!$B$45*(1-Assumptions!$B$49)-MAX(0,E71*(1-5*Assumptions!$B$50))</f>
        <v>6865542.8529399578</v>
      </c>
      <c r="M71" s="10">
        <f t="shared" si="4"/>
        <v>-9.929784020095811E-3</v>
      </c>
    </row>
    <row r="72" spans="1:13">
      <c r="A72" s="4" t="s">
        <v>269</v>
      </c>
      <c r="B72" s="4">
        <f>$B49</f>
        <v>0.75</v>
      </c>
      <c r="C72" s="4">
        <f>C$44</f>
        <v>0.05</v>
      </c>
      <c r="D72" s="4">
        <f>'Sources &amp; Uses'!$B$7</f>
        <v>18818150</v>
      </c>
      <c r="E72" s="4">
        <f t="shared" si="2"/>
        <v>14113612.5</v>
      </c>
      <c r="F72" s="4">
        <f>D72*(1+Assumptions!$B$48)-E72</f>
        <v>4986809.75</v>
      </c>
      <c r="G72" s="4">
        <f t="shared" si="3"/>
        <v>-4986809.75</v>
      </c>
      <c r="H72" s="4">
        <f>'5Y Underwriting'!C18-MAX(0,E72*(1-(1-1)*Assumptions!$B$50))*C72-MIN(MAX(0,E72*(1-(1-1)*Assumptions!$B$50)),E72*Assumptions!$B$50)</f>
        <v>140375.625</v>
      </c>
      <c r="I72" s="4">
        <f>'5Y Underwriting'!D18-MAX(0,E72*(1-(2-1)*Assumptions!$B$50))*C72-MIN(MAX(0,E72*(1-(2-1)*Assumptions!$B$50)),E72*Assumptions!$B$50)</f>
        <v>156693.73687499971</v>
      </c>
      <c r="J72" s="4">
        <f>'5Y Underwriting'!E18-MAX(0,E72*(1-(3-1)*Assumptions!$B$50))*C72-MIN(MAX(0,E72*(1-(3-1)*Assumptions!$B$50)),E72*Assumptions!$B$50)</f>
        <v>173497.85736562451</v>
      </c>
      <c r="K72" s="4">
        <f>'5Y Underwriting'!F18-MAX(0,E72*(1-(4-1)*Assumptions!$B$50))*C72-MIN(MAX(0,E72*(1-(4-1)*Assumptions!$B$50)),E72*Assumptions!$B$50)</f>
        <v>190799.99095645279</v>
      </c>
      <c r="L72" s="4">
        <f>'5Y Underwriting'!G18-MAX(0,E72*(1-(5-1)*Assumptions!$B$50))*C72-MIN(MAX(0,E72*(1-(5-1)*Assumptions!$B$50)),E72*Assumptions!$B$50)+'5Y Underwriting'!$G$16*Assumptions!$B$45*(1-Assumptions!$B$49)-MAX(0,E72*(1-5*Assumptions!$B$50))</f>
        <v>6404498.1779399589</v>
      </c>
      <c r="M72" s="10">
        <f t="shared" si="4"/>
        <v>7.6046473005310533E-2</v>
      </c>
    </row>
    <row r="73" spans="1:13">
      <c r="A73" s="4" t="s">
        <v>270</v>
      </c>
      <c r="B73" s="4">
        <f>$B49</f>
        <v>0.75</v>
      </c>
      <c r="C73" s="4">
        <f>D$44</f>
        <v>6.0000000000000005E-2</v>
      </c>
      <c r="D73" s="4">
        <f>'Sources &amp; Uses'!$B$7</f>
        <v>18818150</v>
      </c>
      <c r="E73" s="4">
        <f t="shared" si="2"/>
        <v>14113612.5</v>
      </c>
      <c r="F73" s="4">
        <f>D73*(1+Assumptions!$B$48)-E73</f>
        <v>4986809.75</v>
      </c>
      <c r="G73" s="4">
        <f t="shared" si="3"/>
        <v>-4986809.75</v>
      </c>
      <c r="H73" s="4">
        <f>'5Y Underwriting'!C18-MAX(0,E73*(1-(1-1)*Assumptions!$B$50))*C73-MIN(MAX(0,E73*(1-(1-1)*Assumptions!$B$50)),E73*Assumptions!$B$50)</f>
        <v>-760.50000000011642</v>
      </c>
      <c r="I73" s="4">
        <f>'5Y Underwriting'!D18-MAX(0,E73*(1-(2-1)*Assumptions!$B$50))*C73-MIN(MAX(0,E73*(1-(2-1)*Assumptions!$B$50)),E73*Assumptions!$B$50)</f>
        <v>15557.611874999595</v>
      </c>
      <c r="J73" s="4">
        <f>'5Y Underwriting'!E18-MAX(0,E73*(1-(3-1)*Assumptions!$B$50))*C73-MIN(MAX(0,E73*(1-(3-1)*Assumptions!$B$50)),E73*Assumptions!$B$50)</f>
        <v>32361.732365624397</v>
      </c>
      <c r="K73" s="4">
        <f>'5Y Underwriting'!F18-MAX(0,E73*(1-(4-1)*Assumptions!$B$50))*C73-MIN(MAX(0,E73*(1-(4-1)*Assumptions!$B$50)),E73*Assumptions!$B$50)</f>
        <v>49663.865956452675</v>
      </c>
      <c r="L73" s="4">
        <f>'5Y Underwriting'!G18-MAX(0,E73*(1-(5-1)*Assumptions!$B$50))*C73-MIN(MAX(0,E73*(1-(5-1)*Assumptions!$B$50)),E73*Assumptions!$B$50)+'5Y Underwriting'!$G$16*Assumptions!$B$45*(1-Assumptions!$B$49)-MAX(0,E73*(1-5*Assumptions!$B$50))</f>
        <v>6263362.0529399589</v>
      </c>
      <c r="M73" s="10">
        <f t="shared" si="4"/>
        <v>5.0122726103005943E-2</v>
      </c>
    </row>
    <row r="74" spans="1:13">
      <c r="A74" s="4" t="s">
        <v>271</v>
      </c>
      <c r="B74" s="4">
        <f>$B49</f>
        <v>0.75</v>
      </c>
      <c r="C74" s="4">
        <f>E$44</f>
        <v>7.0000000000000007E-2</v>
      </c>
      <c r="D74" s="4">
        <f>'Sources &amp; Uses'!$B$7</f>
        <v>18818150</v>
      </c>
      <c r="E74" s="4">
        <f t="shared" si="2"/>
        <v>14113612.5</v>
      </c>
      <c r="F74" s="4">
        <f>D74*(1+Assumptions!$B$48)-E74</f>
        <v>4986809.75</v>
      </c>
      <c r="G74" s="4">
        <f t="shared" si="3"/>
        <v>-4986809.75</v>
      </c>
      <c r="H74" s="4">
        <f>'5Y Underwriting'!C18-MAX(0,E74*(1-(1-1)*Assumptions!$B$50))*C74-MIN(MAX(0,E74*(1-(1-1)*Assumptions!$B$50)),E74*Assumptions!$B$50)</f>
        <v>-141896.62500000012</v>
      </c>
      <c r="I74" s="4">
        <f>'5Y Underwriting'!D18-MAX(0,E74*(1-(2-1)*Assumptions!$B$50))*C74-MIN(MAX(0,E74*(1-(2-1)*Assumptions!$B$50)),E74*Assumptions!$B$50)</f>
        <v>-125578.51312500041</v>
      </c>
      <c r="J74" s="4">
        <f>'5Y Underwriting'!E18-MAX(0,E74*(1-(3-1)*Assumptions!$B$50))*C74-MIN(MAX(0,E74*(1-(3-1)*Assumptions!$B$50)),E74*Assumptions!$B$50)</f>
        <v>-108774.3926343756</v>
      </c>
      <c r="K74" s="4">
        <f>'5Y Underwriting'!F18-MAX(0,E74*(1-(4-1)*Assumptions!$B$50))*C74-MIN(MAX(0,E74*(1-(4-1)*Assumptions!$B$50)),E74*Assumptions!$B$50)</f>
        <v>-91472.259043547325</v>
      </c>
      <c r="L74" s="4">
        <f>'5Y Underwriting'!G18-MAX(0,E74*(1-(5-1)*Assumptions!$B$50))*C74-MIN(MAX(0,E74*(1-(5-1)*Assumptions!$B$50)),E74*Assumptions!$B$50)+'5Y Underwriting'!$G$16*Assumptions!$B$45*(1-Assumptions!$B$49)-MAX(0,E74*(1-5*Assumptions!$B$50))</f>
        <v>6122225.9279399589</v>
      </c>
      <c r="M74" s="10">
        <f t="shared" si="4"/>
        <v>2.4312877269780042E-2</v>
      </c>
    </row>
    <row r="75" spans="1:13">
      <c r="A75" s="4" t="s">
        <v>272</v>
      </c>
      <c r="B75" s="4">
        <f>$B49</f>
        <v>0.75</v>
      </c>
      <c r="C75" s="4">
        <f>F$44</f>
        <v>0.08</v>
      </c>
      <c r="D75" s="4">
        <f>'Sources &amp; Uses'!$B$7</f>
        <v>18818150</v>
      </c>
      <c r="E75" s="4">
        <f t="shared" si="2"/>
        <v>14113612.5</v>
      </c>
      <c r="F75" s="4">
        <f>D75*(1+Assumptions!$B$48)-E75</f>
        <v>4986809.75</v>
      </c>
      <c r="G75" s="4">
        <f t="shared" si="3"/>
        <v>-4986809.75</v>
      </c>
      <c r="H75" s="4">
        <f>'5Y Underwriting'!C18-MAX(0,E75*(1-(1-1)*Assumptions!$B$50))*C75-MIN(MAX(0,E75*(1-(1-1)*Assumptions!$B$50)),E75*Assumptions!$B$50)</f>
        <v>-283032.75</v>
      </c>
      <c r="I75" s="4">
        <f>'5Y Underwriting'!D18-MAX(0,E75*(1-(2-1)*Assumptions!$B$50))*C75-MIN(MAX(0,E75*(1-(2-1)*Assumptions!$B$50)),E75*Assumptions!$B$50)</f>
        <v>-266714.63812500029</v>
      </c>
      <c r="J75" s="4">
        <f>'5Y Underwriting'!E18-MAX(0,E75*(1-(3-1)*Assumptions!$B$50))*C75-MIN(MAX(0,E75*(1-(3-1)*Assumptions!$B$50)),E75*Assumptions!$B$50)</f>
        <v>-249910.51763437549</v>
      </c>
      <c r="K75" s="4">
        <f>'5Y Underwriting'!F18-MAX(0,E75*(1-(4-1)*Assumptions!$B$50))*C75-MIN(MAX(0,E75*(1-(4-1)*Assumptions!$B$50)),E75*Assumptions!$B$50)</f>
        <v>-232608.38404354721</v>
      </c>
      <c r="L75" s="4">
        <f>'5Y Underwriting'!G18-MAX(0,E75*(1-(5-1)*Assumptions!$B$50))*C75-MIN(MAX(0,E75*(1-(5-1)*Assumptions!$B$50)),E75*Assumptions!$B$50)+'5Y Underwriting'!$G$16*Assumptions!$B$45*(1-Assumptions!$B$49)-MAX(0,E75*(1-5*Assumptions!$B$50))</f>
        <v>5981089.8029399589</v>
      </c>
      <c r="M75" s="10">
        <f t="shared" si="4"/>
        <v>-1.3800009302761262E-3</v>
      </c>
    </row>
    <row r="76" spans="1:13">
      <c r="A76" s="4" t="s">
        <v>273</v>
      </c>
      <c r="B76" s="4">
        <f>$B49</f>
        <v>0.75</v>
      </c>
      <c r="C76" s="4">
        <f>G$44</f>
        <v>9.0000000000000011E-2</v>
      </c>
      <c r="D76" s="4">
        <f>'Sources &amp; Uses'!$B$7</f>
        <v>18818150</v>
      </c>
      <c r="E76" s="4">
        <f t="shared" si="2"/>
        <v>14113612.5</v>
      </c>
      <c r="F76" s="4">
        <f>D76*(1+Assumptions!$B$48)-E76</f>
        <v>4986809.75</v>
      </c>
      <c r="G76" s="4">
        <f t="shared" si="3"/>
        <v>-4986809.75</v>
      </c>
      <c r="H76" s="4">
        <f>'5Y Underwriting'!C18-MAX(0,E76*(1-(1-1)*Assumptions!$B$50))*C76-MIN(MAX(0,E76*(1-(1-1)*Assumptions!$B$50)),E76*Assumptions!$B$50)</f>
        <v>-424168.87500000023</v>
      </c>
      <c r="I76" s="4">
        <f>'5Y Underwriting'!D18-MAX(0,E76*(1-(2-1)*Assumptions!$B$50))*C76-MIN(MAX(0,E76*(1-(2-1)*Assumptions!$B$50)),E76*Assumptions!$B$50)</f>
        <v>-407850.76312500052</v>
      </c>
      <c r="J76" s="4">
        <f>'5Y Underwriting'!E18-MAX(0,E76*(1-(3-1)*Assumptions!$B$50))*C76-MIN(MAX(0,E76*(1-(3-1)*Assumptions!$B$50)),E76*Assumptions!$B$50)</f>
        <v>-391046.64263437572</v>
      </c>
      <c r="K76" s="4">
        <f>'5Y Underwriting'!F18-MAX(0,E76*(1-(4-1)*Assumptions!$B$50))*C76-MIN(MAX(0,E76*(1-(4-1)*Assumptions!$B$50)),E76*Assumptions!$B$50)</f>
        <v>-373744.50904354744</v>
      </c>
      <c r="L76" s="4">
        <f>'5Y Underwriting'!G18-MAX(0,E76*(1-(5-1)*Assumptions!$B$50))*C76-MIN(MAX(0,E76*(1-(5-1)*Assumptions!$B$50)),E76*Assumptions!$B$50)+'5Y Underwriting'!$G$16*Assumptions!$B$45*(1-Assumptions!$B$49)-MAX(0,E76*(1-5*Assumptions!$B$50))</f>
        <v>5839953.6779399589</v>
      </c>
      <c r="M76" s="10">
        <f t="shared" si="4"/>
        <v>-2.6953080706768939E-2</v>
      </c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 t="s">
        <v>274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 t="s">
        <v>275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 t="s">
        <v>276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Assumptions</vt:lpstr>
      <vt:lpstr>Historical</vt:lpstr>
      <vt:lpstr>Forecast</vt:lpstr>
      <vt:lpstr>DCF</vt:lpstr>
      <vt:lpstr>Multiples</vt:lpstr>
      <vt:lpstr>Acquisition</vt:lpstr>
      <vt:lpstr>Sensitivities</vt:lpstr>
      <vt:lpstr>Rights Basis</vt:lpstr>
      <vt:lpstr>Sources &amp; Uses</vt:lpstr>
      <vt:lpstr>5Y Underwriting</vt:lpstr>
      <vt:lpstr>5Y Sensitivities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Ravishankar, Medhya (NBCUniversal)</cp:lastModifiedBy>
  <dcterms:modified xsi:type="dcterms:W3CDTF">2026-10-26T16:50:58Z</dcterms:modified>
</cp:coreProperties>
</file>